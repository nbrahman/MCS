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729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Read Drive\Niks\IIT\Spring 2016\CC\Project\"/>
    </mc:Choice>
  </mc:AlternateContent>
  <bookViews>
    <workbookView xWindow="0" yWindow="0" windowWidth="20490" windowHeight="8115" tabRatio="752" firstSheet="2" activeTab="6"/>
  </bookViews>
  <sheets>
    <sheet name="Summary" sheetId="13" r:id="rId1"/>
    <sheet name="Summary (2)" sheetId="15" r:id="rId2"/>
    <sheet name="Sheet2" sheetId="14" r:id="rId3"/>
    <sheet name="Sheet1" sheetId="1" r:id="rId4"/>
    <sheet name="PrCloudDet" sheetId="11" r:id="rId5"/>
    <sheet name="PrCloudQty" sheetId="12" r:id="rId6"/>
    <sheet name="Prices" sheetId="10" r:id="rId7"/>
    <sheet name="m4.10xlarge" sheetId="2" r:id="rId8"/>
    <sheet name="m3.large" sheetId="3" r:id="rId9"/>
    <sheet name="m3.2xlarge" sheetId="4" r:id="rId10"/>
    <sheet name="c3.8xlarge" sheetId="5" r:id="rId11"/>
    <sheet name="g2.2xlarge" sheetId="6" r:id="rId12"/>
    <sheet name="r3.4xlarge" sheetId="7" r:id="rId13"/>
    <sheet name="i2.8xlarge" sheetId="8" r:id="rId14"/>
    <sheet name="d2.8xlarge" sheetId="9" r:id="rId1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3" i="15" l="1"/>
  <c r="A90" i="15"/>
  <c r="A103" i="15" s="1"/>
  <c r="B90" i="15"/>
  <c r="G85" i="15"/>
  <c r="C85" i="15"/>
  <c r="G84" i="15"/>
  <c r="F84" i="15"/>
  <c r="C84" i="15"/>
  <c r="G83" i="15"/>
  <c r="F83" i="15"/>
  <c r="E83" i="15"/>
  <c r="D83" i="15"/>
  <c r="C83" i="15"/>
  <c r="H82" i="15"/>
  <c r="G82" i="15"/>
  <c r="F82" i="15"/>
  <c r="E82" i="15"/>
  <c r="D82" i="15"/>
  <c r="C82" i="15"/>
  <c r="J81" i="15"/>
  <c r="H81" i="15"/>
  <c r="G81" i="15"/>
  <c r="F81" i="15"/>
  <c r="E81" i="15"/>
  <c r="D81" i="15"/>
  <c r="C81" i="15"/>
  <c r="J80" i="15"/>
  <c r="H80" i="15"/>
  <c r="G80" i="15"/>
  <c r="F80" i="15"/>
  <c r="E80" i="15"/>
  <c r="D80" i="15"/>
  <c r="C80" i="15"/>
  <c r="J79" i="15"/>
  <c r="I79" i="15"/>
  <c r="H79" i="15"/>
  <c r="G79" i="15"/>
  <c r="F79" i="15"/>
  <c r="E79" i="15"/>
  <c r="D79" i="15"/>
  <c r="A80" i="15"/>
  <c r="A93" i="15" s="1"/>
  <c r="B80" i="15"/>
  <c r="B93" i="15" s="1"/>
  <c r="A81" i="15"/>
  <c r="A94" i="15" s="1"/>
  <c r="B81" i="15"/>
  <c r="B94" i="15" s="1"/>
  <c r="A82" i="15"/>
  <c r="A95" i="15" s="1"/>
  <c r="B82" i="15"/>
  <c r="B95" i="15" s="1"/>
  <c r="A83" i="15"/>
  <c r="A96" i="15" s="1"/>
  <c r="B83" i="15"/>
  <c r="B96" i="15" s="1"/>
  <c r="B43" i="9"/>
  <c r="B44" i="9"/>
  <c r="B45" i="9"/>
  <c r="B46" i="9"/>
  <c r="B47" i="9"/>
  <c r="B48" i="9"/>
  <c r="B43" i="8"/>
  <c r="B44" i="8"/>
  <c r="B45" i="8"/>
  <c r="B46" i="8"/>
  <c r="B47" i="8"/>
  <c r="B48" i="8"/>
  <c r="B49" i="8"/>
  <c r="B43" i="7"/>
  <c r="B44" i="7"/>
  <c r="B45" i="7"/>
  <c r="B46" i="7"/>
  <c r="B47" i="7"/>
  <c r="A88" i="15"/>
  <c r="A101" i="15" s="1"/>
  <c r="B88" i="15"/>
  <c r="B101" i="15" s="1"/>
  <c r="B45" i="5"/>
  <c r="B45" i="4"/>
  <c r="B46" i="4"/>
  <c r="B45" i="3"/>
  <c r="B46" i="3"/>
  <c r="B44" i="2"/>
  <c r="G86" i="15"/>
  <c r="C79" i="15"/>
  <c r="D78" i="15"/>
  <c r="C78" i="15"/>
  <c r="D77" i="15"/>
  <c r="B78" i="15"/>
  <c r="B79" i="15"/>
  <c r="B84" i="15"/>
  <c r="B97" i="15" s="1"/>
  <c r="B85" i="15"/>
  <c r="B98" i="15" s="1"/>
  <c r="B86" i="15"/>
  <c r="B99" i="15" s="1"/>
  <c r="B87" i="15"/>
  <c r="B100" i="15" s="1"/>
  <c r="B89" i="15"/>
  <c r="B102" i="15" s="1"/>
  <c r="B77" i="15"/>
  <c r="A78" i="15"/>
  <c r="A79" i="15"/>
  <c r="A84" i="15"/>
  <c r="A97" i="15" s="1"/>
  <c r="A85" i="15"/>
  <c r="A98" i="15" s="1"/>
  <c r="A86" i="15"/>
  <c r="A99" i="15" s="1"/>
  <c r="A87" i="15"/>
  <c r="A100" i="15" s="1"/>
  <c r="A89" i="15"/>
  <c r="A102" i="15" s="1"/>
  <c r="A77" i="15"/>
  <c r="B44" i="5"/>
  <c r="B44" i="4"/>
  <c r="B44" i="3"/>
  <c r="C77" i="15"/>
  <c r="B43" i="6"/>
  <c r="J76" i="15"/>
  <c r="I76" i="15"/>
  <c r="H76" i="15"/>
  <c r="G76" i="15"/>
  <c r="F76" i="15"/>
  <c r="E76" i="15"/>
  <c r="D76" i="15"/>
  <c r="C76" i="15"/>
  <c r="B76" i="15"/>
  <c r="B92" i="15" s="1"/>
  <c r="A76" i="15"/>
  <c r="A92" i="15" s="1"/>
  <c r="B43" i="5"/>
  <c r="B43" i="4"/>
  <c r="B43" i="3"/>
  <c r="B43" i="2"/>
  <c r="G77" i="15" l="1"/>
  <c r="G87" i="15"/>
  <c r="G78" i="15"/>
  <c r="A15" i="1" l="1"/>
  <c r="A16" i="1"/>
  <c r="A17" i="1"/>
  <c r="A18" i="1"/>
  <c r="A19" i="1"/>
  <c r="A20" i="1"/>
  <c r="A21" i="1"/>
  <c r="A14" i="1"/>
  <c r="B42" i="3"/>
  <c r="B41" i="3"/>
  <c r="B40" i="3"/>
  <c r="B39" i="3"/>
  <c r="B38" i="3"/>
  <c r="B37" i="3"/>
  <c r="B42" i="4"/>
  <c r="B41" i="4"/>
  <c r="B40" i="4"/>
  <c r="B39" i="4"/>
  <c r="B38" i="4"/>
  <c r="B37" i="4"/>
  <c r="B42" i="5"/>
  <c r="B41" i="5"/>
  <c r="B40" i="5"/>
  <c r="B39" i="5"/>
  <c r="B38" i="5"/>
  <c r="B37" i="5"/>
  <c r="B42" i="6"/>
  <c r="B41" i="6"/>
  <c r="B40" i="6"/>
  <c r="B39" i="6"/>
  <c r="B38" i="6"/>
  <c r="B37" i="6"/>
  <c r="B42" i="7"/>
  <c r="B41" i="7"/>
  <c r="B40" i="7"/>
  <c r="B39" i="7"/>
  <c r="B38" i="7"/>
  <c r="B37" i="7"/>
  <c r="B42" i="8"/>
  <c r="B41" i="8"/>
  <c r="B40" i="8"/>
  <c r="B39" i="8"/>
  <c r="B38" i="8"/>
  <c r="B37" i="8"/>
  <c r="B42" i="9"/>
  <c r="B41" i="9"/>
  <c r="B40" i="9"/>
  <c r="B39" i="9"/>
  <c r="B38" i="9"/>
  <c r="B37" i="9"/>
  <c r="B42" i="2"/>
  <c r="B41" i="2"/>
  <c r="B40" i="2"/>
  <c r="B39" i="2"/>
  <c r="B38" i="2"/>
  <c r="B37" i="2"/>
  <c r="B36" i="3"/>
  <c r="B36" i="4"/>
  <c r="B36" i="5"/>
  <c r="B36" i="6"/>
  <c r="B36" i="7"/>
  <c r="B36" i="8"/>
  <c r="B36" i="9"/>
  <c r="B36" i="2"/>
  <c r="B68" i="13" l="1"/>
  <c r="B67" i="13"/>
  <c r="B66" i="13"/>
  <c r="B65" i="13"/>
  <c r="B64" i="13"/>
  <c r="B63" i="13"/>
  <c r="B62" i="13"/>
  <c r="A68" i="13"/>
  <c r="A67" i="13"/>
  <c r="A66" i="13"/>
  <c r="A65" i="13"/>
  <c r="A64" i="13"/>
  <c r="A63" i="13"/>
  <c r="A62" i="13"/>
  <c r="I61" i="13"/>
  <c r="H61" i="13"/>
  <c r="J61" i="13"/>
  <c r="G61" i="13"/>
  <c r="F61" i="13"/>
  <c r="E61" i="13"/>
  <c r="D61" i="13"/>
  <c r="C61" i="13"/>
  <c r="B61" i="13"/>
  <c r="A61" i="13"/>
  <c r="K14" i="4" l="1"/>
  <c r="E14" i="4"/>
  <c r="K14" i="5"/>
  <c r="E14" i="5"/>
  <c r="K14" i="6"/>
  <c r="E14" i="6"/>
  <c r="K14" i="7"/>
  <c r="E14" i="7"/>
  <c r="K14" i="8"/>
  <c r="E14" i="8"/>
  <c r="K14" i="9"/>
  <c r="E14" i="9"/>
  <c r="K14" i="3"/>
  <c r="E14" i="3"/>
  <c r="F26" i="9" l="1"/>
  <c r="F24" i="9"/>
  <c r="F27" i="9"/>
  <c r="F28" i="9"/>
  <c r="F25" i="9"/>
  <c r="F24" i="7"/>
  <c r="F25" i="7"/>
  <c r="F26" i="7"/>
  <c r="F27" i="7"/>
  <c r="F24" i="8"/>
  <c r="F25" i="8"/>
  <c r="F29" i="8"/>
  <c r="F23" i="8"/>
  <c r="F26" i="8"/>
  <c r="F27" i="8"/>
  <c r="F28" i="8"/>
  <c r="F21" i="6"/>
  <c r="F23" i="6"/>
  <c r="F20" i="9"/>
  <c r="F23" i="9"/>
  <c r="F17" i="8"/>
  <c r="F18" i="8"/>
  <c r="F19" i="8"/>
  <c r="F20" i="8"/>
  <c r="F21" i="8"/>
  <c r="F22" i="8"/>
  <c r="F23" i="7"/>
  <c r="F25" i="3"/>
  <c r="F26" i="3"/>
  <c r="F25" i="5"/>
  <c r="F25" i="4"/>
  <c r="F26" i="4"/>
  <c r="F20" i="5"/>
  <c r="F23" i="5"/>
  <c r="F24" i="5"/>
  <c r="F24" i="4"/>
  <c r="F24" i="3"/>
  <c r="F22" i="3"/>
  <c r="F23" i="3"/>
  <c r="F20" i="4"/>
  <c r="F23" i="4"/>
  <c r="F18" i="6"/>
  <c r="F19" i="6"/>
  <c r="F21" i="5"/>
  <c r="F17" i="9"/>
  <c r="F21" i="9"/>
  <c r="F19" i="9"/>
  <c r="F22" i="5"/>
  <c r="F22" i="6"/>
  <c r="F21" i="4"/>
  <c r="F18" i="3"/>
  <c r="F17" i="5"/>
  <c r="F18" i="5"/>
  <c r="F17" i="4"/>
  <c r="F21" i="3"/>
  <c r="F17" i="3"/>
  <c r="F19" i="3"/>
  <c r="F20" i="3"/>
  <c r="F18" i="9"/>
  <c r="F22" i="9"/>
  <c r="F22" i="7"/>
  <c r="F18" i="7"/>
  <c r="F21" i="7"/>
  <c r="F17" i="7"/>
  <c r="F19" i="7"/>
  <c r="F20" i="7"/>
  <c r="F20" i="6"/>
  <c r="F19" i="5"/>
  <c r="F18" i="4"/>
  <c r="F22" i="4"/>
  <c r="F17" i="6"/>
  <c r="F19" i="4"/>
  <c r="K14" i="2"/>
  <c r="B17" i="11"/>
  <c r="B18" i="11" s="1"/>
  <c r="I18" i="11"/>
  <c r="G18" i="11"/>
  <c r="E18" i="11"/>
  <c r="C18" i="11"/>
  <c r="I17" i="11"/>
  <c r="H17" i="11"/>
  <c r="H18" i="11" s="1"/>
  <c r="G17" i="11"/>
  <c r="F17" i="11"/>
  <c r="F18" i="11" s="1"/>
  <c r="E17" i="11"/>
  <c r="D17" i="11"/>
  <c r="D18" i="11" s="1"/>
  <c r="C17" i="11"/>
  <c r="I10" i="12"/>
  <c r="H10" i="12"/>
  <c r="G10" i="12"/>
  <c r="F10" i="12"/>
  <c r="E10" i="12"/>
  <c r="D10" i="12"/>
  <c r="C10" i="12"/>
  <c r="B10" i="12"/>
  <c r="E14" i="2"/>
  <c r="E9" i="5"/>
  <c r="E9" i="6"/>
  <c r="E9" i="7"/>
  <c r="E9" i="9"/>
  <c r="E9" i="4"/>
  <c r="E9" i="2" l="1"/>
  <c r="D10" i="6"/>
  <c r="F9" i="6"/>
  <c r="C10" i="6"/>
  <c r="E10" i="6" s="1"/>
  <c r="F10" i="6" l="1"/>
  <c r="G10" i="6"/>
  <c r="G9" i="6"/>
  <c r="C25" i="10"/>
  <c r="C24" i="10"/>
  <c r="I22" i="12" l="1"/>
  <c r="H22" i="12"/>
  <c r="G22" i="12"/>
  <c r="F22" i="12"/>
  <c r="E22" i="12"/>
  <c r="D22" i="12"/>
  <c r="C22" i="12"/>
  <c r="B22" i="12"/>
  <c r="I21" i="12"/>
  <c r="H21" i="12"/>
  <c r="G21" i="12"/>
  <c r="F21" i="12"/>
  <c r="E21" i="12"/>
  <c r="D21" i="12"/>
  <c r="C21" i="12"/>
  <c r="B21" i="12"/>
  <c r="D5" i="9"/>
  <c r="D5" i="8"/>
  <c r="D5" i="7"/>
  <c r="D5" i="6"/>
  <c r="D5" i="5"/>
  <c r="D5" i="4"/>
  <c r="D5" i="3"/>
  <c r="D6" i="6"/>
  <c r="G9" i="4"/>
  <c r="G9" i="5"/>
  <c r="G9" i="7"/>
  <c r="G9" i="9"/>
  <c r="G9" i="2"/>
  <c r="M7" i="1"/>
  <c r="D8" i="2"/>
  <c r="C8" i="2"/>
  <c r="I16" i="12"/>
  <c r="H16" i="12"/>
  <c r="G16" i="12"/>
  <c r="F16" i="12"/>
  <c r="E16" i="12"/>
  <c r="D16" i="12"/>
  <c r="C16" i="12"/>
  <c r="B16" i="12"/>
  <c r="D9" i="3"/>
  <c r="C9" i="3"/>
  <c r="E9" i="3" s="1"/>
  <c r="D9" i="8"/>
  <c r="C9" i="8"/>
  <c r="E9" i="8" s="1"/>
  <c r="I12" i="12"/>
  <c r="H12" i="12"/>
  <c r="G12" i="12"/>
  <c r="F12" i="12"/>
  <c r="E12" i="12"/>
  <c r="D12" i="12"/>
  <c r="C12" i="12"/>
  <c r="B12" i="12"/>
  <c r="D8" i="9"/>
  <c r="C8" i="9"/>
  <c r="E8" i="9" s="1"/>
  <c r="D8" i="8"/>
  <c r="C8" i="8"/>
  <c r="E8" i="8" s="1"/>
  <c r="D8" i="7"/>
  <c r="C8" i="7"/>
  <c r="E8" i="7" s="1"/>
  <c r="D8" i="6"/>
  <c r="C8" i="6"/>
  <c r="E8" i="6" s="1"/>
  <c r="D8" i="5"/>
  <c r="C8" i="5"/>
  <c r="E8" i="5" s="1"/>
  <c r="D8" i="4"/>
  <c r="C8" i="4"/>
  <c r="E8" i="4" s="1"/>
  <c r="D8" i="3"/>
  <c r="C8" i="3"/>
  <c r="E8" i="3" s="1"/>
  <c r="C12" i="10"/>
  <c r="C43" i="6" l="1"/>
  <c r="O28" i="15"/>
  <c r="O17" i="15" s="1"/>
  <c r="O27" i="15"/>
  <c r="O16" i="15" s="1"/>
  <c r="O26" i="15"/>
  <c r="O15" i="15" s="1"/>
  <c r="O25" i="15"/>
  <c r="O14" i="15" s="1"/>
  <c r="O24" i="15"/>
  <c r="O13" i="15" s="1"/>
  <c r="O23" i="15"/>
  <c r="O12" i="15" s="1"/>
  <c r="O22" i="15"/>
  <c r="H18" i="1"/>
  <c r="D18" i="1"/>
  <c r="C38" i="6"/>
  <c r="C42" i="6"/>
  <c r="G18" i="1"/>
  <c r="C18" i="1"/>
  <c r="C39" i="6"/>
  <c r="C36" i="6"/>
  <c r="F18" i="1"/>
  <c r="O22" i="13"/>
  <c r="O11" i="13" s="1"/>
  <c r="O23" i="13"/>
  <c r="O12" i="13" s="1"/>
  <c r="O24" i="13"/>
  <c r="O13" i="13" s="1"/>
  <c r="O25" i="13"/>
  <c r="O14" i="13" s="1"/>
  <c r="C40" i="6"/>
  <c r="I18" i="1"/>
  <c r="E18" i="1"/>
  <c r="C37" i="6"/>
  <c r="C41" i="6"/>
  <c r="O27" i="13"/>
  <c r="O16" i="13" s="1"/>
  <c r="O26" i="13"/>
  <c r="O15" i="13" s="1"/>
  <c r="O28" i="13"/>
  <c r="O17" i="13" s="1"/>
  <c r="G8" i="3"/>
  <c r="G8" i="5"/>
  <c r="G8" i="7"/>
  <c r="G8" i="9"/>
  <c r="G9" i="3"/>
  <c r="G8" i="4"/>
  <c r="G8" i="6"/>
  <c r="G8" i="8"/>
  <c r="G9" i="8"/>
  <c r="G8" i="2"/>
  <c r="O61" i="15" l="1"/>
  <c r="O68" i="15"/>
  <c r="O70" i="15"/>
  <c r="O73" i="15"/>
  <c r="O11" i="15"/>
  <c r="O64" i="15"/>
  <c r="O63" i="15"/>
  <c r="O72" i="15"/>
  <c r="O71" i="15"/>
  <c r="O66" i="15"/>
  <c r="O67" i="15"/>
  <c r="O69" i="15"/>
  <c r="O65" i="15"/>
  <c r="O74" i="15"/>
  <c r="O62" i="15"/>
  <c r="D10" i="1"/>
  <c r="D9" i="1"/>
  <c r="D8" i="1"/>
  <c r="D7" i="1"/>
  <c r="D6" i="1"/>
  <c r="D5" i="1"/>
  <c r="D4" i="1"/>
  <c r="C4" i="9" l="1"/>
  <c r="C4" i="8"/>
  <c r="E4" i="8" s="1"/>
  <c r="C4" i="7"/>
  <c r="E4" i="7" s="1"/>
  <c r="C4" i="6"/>
  <c r="E4" i="6" s="1"/>
  <c r="C4" i="5"/>
  <c r="C4" i="4"/>
  <c r="E4" i="4" s="1"/>
  <c r="C4" i="3"/>
  <c r="E4" i="3" s="1"/>
  <c r="C4" i="2"/>
  <c r="D6" i="9"/>
  <c r="C6" i="9"/>
  <c r="E6" i="9" s="1"/>
  <c r="D6" i="8"/>
  <c r="C6" i="8"/>
  <c r="E6" i="8" s="1"/>
  <c r="D6" i="7"/>
  <c r="C6" i="7"/>
  <c r="E6" i="7" s="1"/>
  <c r="C6" i="6"/>
  <c r="E6" i="6" s="1"/>
  <c r="D6" i="5"/>
  <c r="C6" i="5"/>
  <c r="E6" i="5" s="1"/>
  <c r="D6" i="4"/>
  <c r="C6" i="4"/>
  <c r="E6" i="4" s="1"/>
  <c r="D6" i="3"/>
  <c r="C6" i="3"/>
  <c r="E6" i="3" s="1"/>
  <c r="C7" i="3"/>
  <c r="E7" i="3" s="1"/>
  <c r="C7" i="4"/>
  <c r="E7" i="4" s="1"/>
  <c r="C7" i="5"/>
  <c r="E7" i="5" s="1"/>
  <c r="C7" i="6"/>
  <c r="E7" i="6" s="1"/>
  <c r="C7" i="7"/>
  <c r="C7" i="8"/>
  <c r="E7" i="8" s="1"/>
  <c r="C7" i="9"/>
  <c r="E7" i="9" s="1"/>
  <c r="C7" i="2"/>
  <c r="D6" i="2"/>
  <c r="C5" i="2"/>
  <c r="C6" i="2"/>
  <c r="D5" i="2"/>
  <c r="I9" i="11"/>
  <c r="I11" i="11" s="1"/>
  <c r="H9" i="11"/>
  <c r="H11" i="11" s="1"/>
  <c r="G9" i="11"/>
  <c r="G11" i="11" s="1"/>
  <c r="F9" i="11"/>
  <c r="F11" i="11" s="1"/>
  <c r="E9" i="11"/>
  <c r="E11" i="11" s="1"/>
  <c r="D9" i="11"/>
  <c r="D11" i="11" s="1"/>
  <c r="C9" i="11"/>
  <c r="C11" i="11" s="1"/>
  <c r="B9" i="11"/>
  <c r="B11" i="11" s="1"/>
  <c r="F8" i="11"/>
  <c r="I7" i="11"/>
  <c r="H7" i="11"/>
  <c r="G7" i="11"/>
  <c r="F7" i="11"/>
  <c r="E7" i="11"/>
  <c r="D7" i="11"/>
  <c r="C7" i="11"/>
  <c r="B7" i="11"/>
  <c r="C5" i="9"/>
  <c r="E5" i="9" s="1"/>
  <c r="C5" i="8"/>
  <c r="E5" i="8" s="1"/>
  <c r="C5" i="7"/>
  <c r="E5" i="7" s="1"/>
  <c r="C5" i="6"/>
  <c r="E5" i="6" s="1"/>
  <c r="C5" i="5"/>
  <c r="E5" i="5" s="1"/>
  <c r="C5" i="4"/>
  <c r="E5" i="4" s="1"/>
  <c r="C5" i="3"/>
  <c r="E5" i="3" s="1"/>
  <c r="F9" i="3"/>
  <c r="F8" i="3"/>
  <c r="F9" i="4"/>
  <c r="F8" i="4"/>
  <c r="F9" i="5"/>
  <c r="F8" i="5"/>
  <c r="F8" i="6"/>
  <c r="F9" i="7"/>
  <c r="F8" i="7"/>
  <c r="F9" i="8"/>
  <c r="F8" i="8"/>
  <c r="F9" i="9"/>
  <c r="F8" i="9"/>
  <c r="F9" i="2"/>
  <c r="E8" i="2"/>
  <c r="F8" i="2" s="1"/>
  <c r="M4" i="1"/>
  <c r="M5" i="1"/>
  <c r="M6" i="1"/>
  <c r="M8" i="1"/>
  <c r="M9" i="1"/>
  <c r="M10" i="1"/>
  <c r="M3" i="1"/>
  <c r="B8" i="11" l="1"/>
  <c r="C44" i="2"/>
  <c r="C36" i="2"/>
  <c r="C43" i="2"/>
  <c r="K28" i="15"/>
  <c r="K17" i="15" s="1"/>
  <c r="K27" i="15"/>
  <c r="K16" i="15" s="1"/>
  <c r="K26" i="15"/>
  <c r="K15" i="15" s="1"/>
  <c r="K25" i="15"/>
  <c r="K14" i="15" s="1"/>
  <c r="K24" i="15"/>
  <c r="K13" i="15" s="1"/>
  <c r="K23" i="15"/>
  <c r="K12" i="15" s="1"/>
  <c r="K22" i="15"/>
  <c r="H14" i="1"/>
  <c r="D14" i="1"/>
  <c r="C42" i="2"/>
  <c r="C37" i="2"/>
  <c r="G14" i="1"/>
  <c r="C14" i="1"/>
  <c r="C40" i="2"/>
  <c r="C38" i="2"/>
  <c r="F14" i="1"/>
  <c r="K22" i="13"/>
  <c r="K11" i="13" s="1"/>
  <c r="K23" i="13"/>
  <c r="K12" i="13" s="1"/>
  <c r="K24" i="13"/>
  <c r="K13" i="13" s="1"/>
  <c r="K25" i="13"/>
  <c r="K14" i="13" s="1"/>
  <c r="I14" i="1"/>
  <c r="E14" i="1"/>
  <c r="C41" i="2"/>
  <c r="C39" i="2"/>
  <c r="K27" i="13"/>
  <c r="K16" i="13" s="1"/>
  <c r="K28" i="13"/>
  <c r="K17" i="13" s="1"/>
  <c r="K26" i="13"/>
  <c r="K15" i="13" s="1"/>
  <c r="E8" i="11"/>
  <c r="C45" i="5"/>
  <c r="C44" i="5"/>
  <c r="C43" i="5"/>
  <c r="N28" i="15"/>
  <c r="N17" i="15" s="1"/>
  <c r="N27" i="15"/>
  <c r="N16" i="15" s="1"/>
  <c r="N26" i="15"/>
  <c r="N15" i="15" s="1"/>
  <c r="N25" i="15"/>
  <c r="N14" i="15" s="1"/>
  <c r="N24" i="15"/>
  <c r="N13" i="15" s="1"/>
  <c r="N23" i="15"/>
  <c r="N12" i="15" s="1"/>
  <c r="N22" i="15"/>
  <c r="G17" i="1"/>
  <c r="C17" i="1"/>
  <c r="C39" i="5"/>
  <c r="C36" i="5"/>
  <c r="F17" i="1"/>
  <c r="N22" i="13"/>
  <c r="N11" i="13" s="1"/>
  <c r="N23" i="13"/>
  <c r="N12" i="13" s="1"/>
  <c r="N24" i="13"/>
  <c r="N13" i="13" s="1"/>
  <c r="N25" i="13"/>
  <c r="N14" i="13" s="1"/>
  <c r="C40" i="5"/>
  <c r="I17" i="1"/>
  <c r="E17" i="1"/>
  <c r="C37" i="5"/>
  <c r="C41" i="5"/>
  <c r="H17" i="1"/>
  <c r="D17" i="1"/>
  <c r="C38" i="5"/>
  <c r="C42" i="5"/>
  <c r="N26" i="13"/>
  <c r="N15" i="13" s="1"/>
  <c r="N28" i="13"/>
  <c r="N17" i="13" s="1"/>
  <c r="N27" i="13"/>
  <c r="N16" i="13" s="1"/>
  <c r="G8" i="11"/>
  <c r="G12" i="11" s="1"/>
  <c r="G15" i="11" s="1"/>
  <c r="C44" i="7"/>
  <c r="C47" i="7"/>
  <c r="C23" i="7"/>
  <c r="C43" i="7"/>
  <c r="C46" i="7"/>
  <c r="C45" i="7"/>
  <c r="P28" i="15"/>
  <c r="P17" i="15" s="1"/>
  <c r="P27" i="15"/>
  <c r="P16" i="15" s="1"/>
  <c r="P26" i="15"/>
  <c r="P15" i="15" s="1"/>
  <c r="P25" i="15"/>
  <c r="P14" i="15" s="1"/>
  <c r="P24" i="15"/>
  <c r="P13" i="15" s="1"/>
  <c r="P23" i="15"/>
  <c r="P12" i="15" s="1"/>
  <c r="P22" i="15"/>
  <c r="I19" i="1"/>
  <c r="E19" i="1"/>
  <c r="C37" i="7"/>
  <c r="C41" i="7"/>
  <c r="C18" i="7"/>
  <c r="H19" i="1"/>
  <c r="D19" i="1"/>
  <c r="C38" i="7"/>
  <c r="C42" i="7"/>
  <c r="G19" i="1"/>
  <c r="C19" i="1"/>
  <c r="C39" i="7"/>
  <c r="C36" i="7"/>
  <c r="C20" i="7"/>
  <c r="F19" i="1"/>
  <c r="P22" i="13"/>
  <c r="P11" i="13" s="1"/>
  <c r="P23" i="13"/>
  <c r="P12" i="13" s="1"/>
  <c r="P24" i="13"/>
  <c r="P13" i="13" s="1"/>
  <c r="P25" i="13"/>
  <c r="P14" i="13" s="1"/>
  <c r="C40" i="7"/>
  <c r="P28" i="13"/>
  <c r="P17" i="13" s="1"/>
  <c r="P27" i="13"/>
  <c r="P16" i="13" s="1"/>
  <c r="P26" i="13"/>
  <c r="P15" i="13" s="1"/>
  <c r="I8" i="11"/>
  <c r="C43" i="9"/>
  <c r="C47" i="9"/>
  <c r="C46" i="9"/>
  <c r="C24" i="9"/>
  <c r="C45" i="9"/>
  <c r="C26" i="9"/>
  <c r="C44" i="9"/>
  <c r="C48" i="9"/>
  <c r="R28" i="15"/>
  <c r="R17" i="15" s="1"/>
  <c r="R27" i="15"/>
  <c r="R16" i="15" s="1"/>
  <c r="R26" i="15"/>
  <c r="R15" i="15" s="1"/>
  <c r="R25" i="15"/>
  <c r="R14" i="15" s="1"/>
  <c r="R24" i="15"/>
  <c r="R13" i="15" s="1"/>
  <c r="R23" i="15"/>
  <c r="R12" i="15" s="1"/>
  <c r="R22" i="15"/>
  <c r="G21" i="1"/>
  <c r="C21" i="1"/>
  <c r="C39" i="9"/>
  <c r="C36" i="9"/>
  <c r="C21" i="9"/>
  <c r="F21" i="1"/>
  <c r="R22" i="13"/>
  <c r="R11" i="13" s="1"/>
  <c r="R23" i="13"/>
  <c r="R12" i="13" s="1"/>
  <c r="R24" i="13"/>
  <c r="R13" i="13" s="1"/>
  <c r="R25" i="13"/>
  <c r="R14" i="13" s="1"/>
  <c r="C40" i="9"/>
  <c r="C22" i="9"/>
  <c r="I21" i="1"/>
  <c r="E21" i="1"/>
  <c r="C37" i="9"/>
  <c r="C41" i="9"/>
  <c r="H21" i="1"/>
  <c r="D21" i="1"/>
  <c r="C38" i="9"/>
  <c r="C42" i="9"/>
  <c r="R26" i="13"/>
  <c r="R15" i="13" s="1"/>
  <c r="R28" i="13"/>
  <c r="R17" i="13" s="1"/>
  <c r="R27" i="13"/>
  <c r="R16" i="13" s="1"/>
  <c r="D8" i="11"/>
  <c r="D12" i="11" s="1"/>
  <c r="D15" i="11" s="1"/>
  <c r="C45" i="4"/>
  <c r="C44" i="4"/>
  <c r="C46" i="4"/>
  <c r="C24" i="4"/>
  <c r="M28" i="15"/>
  <c r="M17" i="15" s="1"/>
  <c r="M27" i="15"/>
  <c r="M16" i="15" s="1"/>
  <c r="M26" i="15"/>
  <c r="M15" i="15" s="1"/>
  <c r="M25" i="15"/>
  <c r="M14" i="15" s="1"/>
  <c r="M24" i="15"/>
  <c r="M13" i="15" s="1"/>
  <c r="M23" i="15"/>
  <c r="M12" i="15" s="1"/>
  <c r="M22" i="15"/>
  <c r="C43" i="4"/>
  <c r="C17" i="4"/>
  <c r="F16" i="1"/>
  <c r="M22" i="13"/>
  <c r="M11" i="13" s="1"/>
  <c r="M23" i="13"/>
  <c r="M12" i="13" s="1"/>
  <c r="M24" i="13"/>
  <c r="M13" i="13" s="1"/>
  <c r="M25" i="13"/>
  <c r="M14" i="13" s="1"/>
  <c r="C40" i="4"/>
  <c r="C18" i="4"/>
  <c r="I16" i="1"/>
  <c r="E16" i="1"/>
  <c r="C37" i="4"/>
  <c r="C41" i="4"/>
  <c r="C19" i="4"/>
  <c r="H16" i="1"/>
  <c r="D16" i="1"/>
  <c r="C38" i="4"/>
  <c r="C42" i="4"/>
  <c r="G16" i="1"/>
  <c r="C16" i="1"/>
  <c r="C16" i="4"/>
  <c r="C39" i="4"/>
  <c r="C36" i="4"/>
  <c r="M28" i="13"/>
  <c r="M17" i="13" s="1"/>
  <c r="M27" i="13"/>
  <c r="M16" i="13" s="1"/>
  <c r="M26" i="13"/>
  <c r="M15" i="13" s="1"/>
  <c r="H8" i="11"/>
  <c r="H12" i="11" s="1"/>
  <c r="H15" i="11" s="1"/>
  <c r="C26" i="8"/>
  <c r="C43" i="8"/>
  <c r="C45" i="8"/>
  <c r="C48" i="8"/>
  <c r="C27" i="8"/>
  <c r="C44" i="8"/>
  <c r="C46" i="8"/>
  <c r="C47" i="8"/>
  <c r="C49" i="8"/>
  <c r="Q28" i="15"/>
  <c r="Q17" i="15" s="1"/>
  <c r="Q27" i="15"/>
  <c r="Q16" i="15" s="1"/>
  <c r="Q26" i="15"/>
  <c r="Q15" i="15" s="1"/>
  <c r="Q25" i="15"/>
  <c r="Q14" i="15" s="1"/>
  <c r="Q24" i="15"/>
  <c r="Q13" i="15" s="1"/>
  <c r="Q23" i="15"/>
  <c r="Q12" i="15" s="1"/>
  <c r="Q22" i="15"/>
  <c r="C16" i="8"/>
  <c r="F20" i="1"/>
  <c r="Q22" i="13"/>
  <c r="Q11" i="13" s="1"/>
  <c r="Q23" i="13"/>
  <c r="Q12" i="13" s="1"/>
  <c r="Q24" i="13"/>
  <c r="Q13" i="13" s="1"/>
  <c r="Q25" i="13"/>
  <c r="Q14" i="13" s="1"/>
  <c r="C40" i="8"/>
  <c r="C17" i="8"/>
  <c r="I20" i="1"/>
  <c r="E20" i="1"/>
  <c r="C37" i="8"/>
  <c r="C41" i="8"/>
  <c r="C18" i="8"/>
  <c r="H20" i="1"/>
  <c r="D20" i="1"/>
  <c r="C38" i="8"/>
  <c r="C42" i="8"/>
  <c r="C19" i="8"/>
  <c r="G20" i="1"/>
  <c r="C20" i="1"/>
  <c r="C39" i="8"/>
  <c r="C36" i="8"/>
  <c r="Q28" i="13"/>
  <c r="Q17" i="13" s="1"/>
  <c r="Q27" i="13"/>
  <c r="Q16" i="13" s="1"/>
  <c r="Q26" i="13"/>
  <c r="Q15" i="13" s="1"/>
  <c r="C8" i="11"/>
  <c r="C12" i="11" s="1"/>
  <c r="C15" i="11" s="1"/>
  <c r="C46" i="3"/>
  <c r="C44" i="3"/>
  <c r="C45" i="3"/>
  <c r="L28" i="15"/>
  <c r="L17" i="15" s="1"/>
  <c r="L27" i="15"/>
  <c r="L16" i="15" s="1"/>
  <c r="L26" i="15"/>
  <c r="L15" i="15" s="1"/>
  <c r="L25" i="15"/>
  <c r="L14" i="15" s="1"/>
  <c r="L24" i="15"/>
  <c r="L13" i="15" s="1"/>
  <c r="L23" i="15"/>
  <c r="L12" i="15" s="1"/>
  <c r="L22" i="15"/>
  <c r="C43" i="3"/>
  <c r="C19" i="3"/>
  <c r="I15" i="1"/>
  <c r="E15" i="1"/>
  <c r="C37" i="3"/>
  <c r="C41" i="3"/>
  <c r="H15" i="1"/>
  <c r="D15" i="1"/>
  <c r="C16" i="3"/>
  <c r="C38" i="3"/>
  <c r="C42" i="3"/>
  <c r="C21" i="3"/>
  <c r="G15" i="1"/>
  <c r="C15" i="1"/>
  <c r="C39" i="3"/>
  <c r="C36" i="3"/>
  <c r="F15" i="1"/>
  <c r="L22" i="13"/>
  <c r="L11" i="13" s="1"/>
  <c r="L23" i="13"/>
  <c r="L12" i="13" s="1"/>
  <c r="L24" i="13"/>
  <c r="L13" i="13" s="1"/>
  <c r="L25" i="13"/>
  <c r="L14" i="13" s="1"/>
  <c r="C40" i="3"/>
  <c r="L28" i="13"/>
  <c r="L17" i="13" s="1"/>
  <c r="L27" i="13"/>
  <c r="L16" i="13" s="1"/>
  <c r="L26" i="13"/>
  <c r="L15" i="13" s="1"/>
  <c r="G7" i="7"/>
  <c r="E7" i="7"/>
  <c r="F7" i="7" s="1"/>
  <c r="G4" i="5"/>
  <c r="E4" i="5"/>
  <c r="F4" i="5" s="1"/>
  <c r="G4" i="9"/>
  <c r="E4" i="9"/>
  <c r="F4" i="9" s="1"/>
  <c r="F5" i="6"/>
  <c r="G5" i="6"/>
  <c r="E6" i="2"/>
  <c r="F6" i="2" s="1"/>
  <c r="G6" i="2"/>
  <c r="F7" i="9"/>
  <c r="G7" i="9"/>
  <c r="F6" i="8"/>
  <c r="G6" i="8"/>
  <c r="G4" i="2"/>
  <c r="E4" i="2"/>
  <c r="F4" i="2" s="1"/>
  <c r="F4" i="6"/>
  <c r="G4" i="6"/>
  <c r="G5" i="3"/>
  <c r="F5" i="7"/>
  <c r="G5" i="7"/>
  <c r="E5" i="2"/>
  <c r="F5" i="2" s="1"/>
  <c r="G5" i="2"/>
  <c r="F7" i="8"/>
  <c r="G7" i="8"/>
  <c r="F7" i="4"/>
  <c r="G7" i="4"/>
  <c r="F6" i="4"/>
  <c r="G6" i="4"/>
  <c r="F6" i="6"/>
  <c r="G6" i="6"/>
  <c r="F4" i="3"/>
  <c r="G4" i="3"/>
  <c r="F4" i="7"/>
  <c r="G4" i="7"/>
  <c r="F7" i="5"/>
  <c r="G7" i="5"/>
  <c r="F5" i="4"/>
  <c r="G5" i="4"/>
  <c r="F5" i="8"/>
  <c r="G5" i="8"/>
  <c r="F7" i="3"/>
  <c r="G7" i="3"/>
  <c r="F6" i="7"/>
  <c r="G6" i="7"/>
  <c r="F6" i="9"/>
  <c r="G6" i="9"/>
  <c r="F4" i="4"/>
  <c r="G4" i="4"/>
  <c r="F4" i="8"/>
  <c r="G4" i="8"/>
  <c r="F5" i="5"/>
  <c r="G5" i="5"/>
  <c r="F5" i="9"/>
  <c r="G5" i="9"/>
  <c r="E7" i="2"/>
  <c r="F7" i="2" s="1"/>
  <c r="G7" i="2"/>
  <c r="F7" i="6"/>
  <c r="G7" i="6"/>
  <c r="F6" i="3"/>
  <c r="G6" i="3"/>
  <c r="F6" i="5"/>
  <c r="G6" i="5"/>
  <c r="I12" i="11"/>
  <c r="C23" i="9" s="1"/>
  <c r="B12" i="11"/>
  <c r="C23" i="2" s="1"/>
  <c r="F12" i="11"/>
  <c r="E12" i="11"/>
  <c r="C24" i="5" s="1"/>
  <c r="G16" i="11"/>
  <c r="G20" i="12" s="1"/>
  <c r="D16" i="11"/>
  <c r="D20" i="12" s="1"/>
  <c r="D14" i="11"/>
  <c r="H16" i="11"/>
  <c r="H20" i="12" s="1"/>
  <c r="C16" i="11"/>
  <c r="C20" i="12" s="1"/>
  <c r="F5" i="3"/>
  <c r="C1" i="3"/>
  <c r="H23" i="2" l="1"/>
  <c r="I23" i="2" s="1"/>
  <c r="G43" i="2" s="1"/>
  <c r="E23" i="2"/>
  <c r="D43" i="2"/>
  <c r="K23" i="2"/>
  <c r="E23" i="9"/>
  <c r="G23" i="9" s="1"/>
  <c r="F43" i="9" s="1"/>
  <c r="D43" i="9"/>
  <c r="K23" i="9"/>
  <c r="H23" i="9"/>
  <c r="I23" i="9" s="1"/>
  <c r="G43" i="9" s="1"/>
  <c r="K24" i="5"/>
  <c r="E24" i="5"/>
  <c r="G24" i="5" s="1"/>
  <c r="F44" i="5" s="1"/>
  <c r="D44" i="5"/>
  <c r="H24" i="5"/>
  <c r="I24" i="5" s="1"/>
  <c r="G44" i="5" s="1"/>
  <c r="E18" i="8"/>
  <c r="G18" i="8" s="1"/>
  <c r="F38" i="8" s="1"/>
  <c r="K18" i="8"/>
  <c r="H18" i="8"/>
  <c r="I18" i="8" s="1"/>
  <c r="G38" i="8" s="1"/>
  <c r="D38" i="8"/>
  <c r="C14" i="11"/>
  <c r="C16" i="6"/>
  <c r="C17" i="6"/>
  <c r="C23" i="6"/>
  <c r="C18" i="6"/>
  <c r="C20" i="6"/>
  <c r="C21" i="6"/>
  <c r="C22" i="6"/>
  <c r="C19" i="6"/>
  <c r="C18" i="3"/>
  <c r="C20" i="3"/>
  <c r="L62" i="15"/>
  <c r="L64" i="15"/>
  <c r="L73" i="15"/>
  <c r="L71" i="15"/>
  <c r="L69" i="15"/>
  <c r="L68" i="15"/>
  <c r="L61" i="15"/>
  <c r="L67" i="15"/>
  <c r="L74" i="15"/>
  <c r="L72" i="15"/>
  <c r="L70" i="15"/>
  <c r="L63" i="15"/>
  <c r="L65" i="15"/>
  <c r="L66" i="15"/>
  <c r="L11" i="15"/>
  <c r="C24" i="3"/>
  <c r="C21" i="8"/>
  <c r="C20" i="8"/>
  <c r="C23" i="8"/>
  <c r="C29" i="8"/>
  <c r="C20" i="4"/>
  <c r="C23" i="4"/>
  <c r="C26" i="4"/>
  <c r="C19" i="9"/>
  <c r="R62" i="15"/>
  <c r="R67" i="15"/>
  <c r="R65" i="15"/>
  <c r="R61" i="15"/>
  <c r="R74" i="15"/>
  <c r="R72" i="15"/>
  <c r="R70" i="15"/>
  <c r="R63" i="15"/>
  <c r="R68" i="15"/>
  <c r="R66" i="15"/>
  <c r="R64" i="15"/>
  <c r="R11" i="15"/>
  <c r="R73" i="15"/>
  <c r="R71" i="15"/>
  <c r="R69" i="15"/>
  <c r="C25" i="9"/>
  <c r="C28" i="9"/>
  <c r="C22" i="7"/>
  <c r="P62" i="15"/>
  <c r="P65" i="15"/>
  <c r="P11" i="15"/>
  <c r="P68" i="15"/>
  <c r="P64" i="15"/>
  <c r="P74" i="15"/>
  <c r="P72" i="15"/>
  <c r="P70" i="15"/>
  <c r="P63" i="15"/>
  <c r="P67" i="15"/>
  <c r="P61" i="15"/>
  <c r="P66" i="15"/>
  <c r="P73" i="15"/>
  <c r="P71" i="15"/>
  <c r="P69" i="15"/>
  <c r="C24" i="7"/>
  <c r="C21" i="5"/>
  <c r="C20" i="5"/>
  <c r="C25" i="5"/>
  <c r="C16" i="2"/>
  <c r="C18" i="2"/>
  <c r="D36" i="3"/>
  <c r="E16" i="3"/>
  <c r="K16" i="3"/>
  <c r="H16" i="3"/>
  <c r="I16" i="3" s="1"/>
  <c r="G36" i="3" s="1"/>
  <c r="D39" i="3"/>
  <c r="E19" i="3"/>
  <c r="G19" i="3" s="1"/>
  <c r="F39" i="3" s="1"/>
  <c r="K19" i="3"/>
  <c r="H19" i="3"/>
  <c r="I19" i="3" s="1"/>
  <c r="G39" i="3" s="1"/>
  <c r="E17" i="8"/>
  <c r="G17" i="8" s="1"/>
  <c r="F37" i="8" s="1"/>
  <c r="D37" i="8"/>
  <c r="K17" i="8"/>
  <c r="H17" i="8"/>
  <c r="I17" i="8" s="1"/>
  <c r="G37" i="8" s="1"/>
  <c r="E16" i="8"/>
  <c r="D36" i="8"/>
  <c r="K16" i="8"/>
  <c r="H16" i="8"/>
  <c r="I16" i="8" s="1"/>
  <c r="G36" i="8" s="1"/>
  <c r="H26" i="8"/>
  <c r="I26" i="8" s="1"/>
  <c r="G46" i="8" s="1"/>
  <c r="E26" i="8"/>
  <c r="G26" i="8" s="1"/>
  <c r="F46" i="8" s="1"/>
  <c r="K26" i="8"/>
  <c r="D46" i="8"/>
  <c r="D36" i="4"/>
  <c r="E16" i="4"/>
  <c r="H16" i="4"/>
  <c r="I16" i="4" s="1"/>
  <c r="G36" i="4" s="1"/>
  <c r="K16" i="4"/>
  <c r="E24" i="4"/>
  <c r="G24" i="4" s="1"/>
  <c r="F44" i="4" s="1"/>
  <c r="D44" i="4"/>
  <c r="H24" i="4"/>
  <c r="I24" i="4" s="1"/>
  <c r="G44" i="4" s="1"/>
  <c r="K24" i="4"/>
  <c r="D41" i="9"/>
  <c r="E21" i="9"/>
  <c r="G21" i="9" s="1"/>
  <c r="F41" i="9" s="1"/>
  <c r="K21" i="9"/>
  <c r="H21" i="9"/>
  <c r="I21" i="9" s="1"/>
  <c r="G41" i="9" s="1"/>
  <c r="E26" i="9"/>
  <c r="G26" i="9" s="1"/>
  <c r="F46" i="9" s="1"/>
  <c r="H26" i="9"/>
  <c r="I26" i="9" s="1"/>
  <c r="G46" i="9" s="1"/>
  <c r="D46" i="9"/>
  <c r="K26" i="9"/>
  <c r="D38" i="7"/>
  <c r="E18" i="7"/>
  <c r="G18" i="7" s="1"/>
  <c r="F38" i="7" s="1"/>
  <c r="H18" i="7"/>
  <c r="I18" i="7" s="1"/>
  <c r="G38" i="7" s="1"/>
  <c r="K18" i="7"/>
  <c r="C22" i="5"/>
  <c r="C16" i="5"/>
  <c r="C17" i="5"/>
  <c r="C19" i="5"/>
  <c r="C23" i="5"/>
  <c r="C21" i="2"/>
  <c r="C24" i="2"/>
  <c r="D41" i="3"/>
  <c r="E21" i="3"/>
  <c r="G21" i="3" s="1"/>
  <c r="F41" i="3" s="1"/>
  <c r="K21" i="3"/>
  <c r="H21" i="3"/>
  <c r="I21" i="3" s="1"/>
  <c r="G41" i="3" s="1"/>
  <c r="E19" i="8"/>
  <c r="G19" i="8" s="1"/>
  <c r="F39" i="8" s="1"/>
  <c r="D39" i="8"/>
  <c r="H19" i="8"/>
  <c r="I19" i="8" s="1"/>
  <c r="G39" i="8" s="1"/>
  <c r="K19" i="8"/>
  <c r="D39" i="4"/>
  <c r="E19" i="4"/>
  <c r="G19" i="4" s="1"/>
  <c r="F39" i="4" s="1"/>
  <c r="H19" i="4"/>
  <c r="I19" i="4" s="1"/>
  <c r="G39" i="4" s="1"/>
  <c r="K19" i="4"/>
  <c r="D42" i="9"/>
  <c r="E22" i="9"/>
  <c r="G22" i="9" s="1"/>
  <c r="F42" i="9" s="1"/>
  <c r="K22" i="9"/>
  <c r="H22" i="9"/>
  <c r="I22" i="9" s="1"/>
  <c r="G42" i="9" s="1"/>
  <c r="E24" i="9"/>
  <c r="G24" i="9" s="1"/>
  <c r="F44" i="9" s="1"/>
  <c r="D44" i="9"/>
  <c r="H24" i="9"/>
  <c r="I24" i="9" s="1"/>
  <c r="G44" i="9" s="1"/>
  <c r="K24" i="9"/>
  <c r="D40" i="7"/>
  <c r="E20" i="7"/>
  <c r="G20" i="7" s="1"/>
  <c r="F40" i="7" s="1"/>
  <c r="H20" i="7"/>
  <c r="I20" i="7" s="1"/>
  <c r="G40" i="7" s="1"/>
  <c r="K20" i="7"/>
  <c r="E23" i="7"/>
  <c r="G23" i="7" s="1"/>
  <c r="F43" i="7" s="1"/>
  <c r="D43" i="7"/>
  <c r="K23" i="7"/>
  <c r="H23" i="7"/>
  <c r="I23" i="7" s="1"/>
  <c r="G43" i="7" s="1"/>
  <c r="H14" i="11"/>
  <c r="G14" i="11"/>
  <c r="C17" i="3"/>
  <c r="C26" i="3"/>
  <c r="C22" i="8"/>
  <c r="Q61" i="15"/>
  <c r="Q68" i="15"/>
  <c r="Q66" i="15"/>
  <c r="Q64" i="15"/>
  <c r="Q11" i="15"/>
  <c r="Q73" i="15"/>
  <c r="Q71" i="15"/>
  <c r="Q69" i="15"/>
  <c r="Q62" i="15"/>
  <c r="Q67" i="15"/>
  <c r="Q65" i="15"/>
  <c r="Q74" i="15"/>
  <c r="Q72" i="15"/>
  <c r="Q70" i="15"/>
  <c r="Q63" i="15"/>
  <c r="C25" i="8"/>
  <c r="C28" i="8"/>
  <c r="C24" i="8"/>
  <c r="C22" i="4"/>
  <c r="C21" i="4"/>
  <c r="M61" i="15"/>
  <c r="M74" i="15"/>
  <c r="M72" i="15"/>
  <c r="M70" i="15"/>
  <c r="M63" i="15"/>
  <c r="M68" i="15"/>
  <c r="M66" i="15"/>
  <c r="M64" i="15"/>
  <c r="M73" i="15"/>
  <c r="M71" i="15"/>
  <c r="M69" i="15"/>
  <c r="M62" i="15"/>
  <c r="M67" i="15"/>
  <c r="M65" i="15"/>
  <c r="M11" i="15"/>
  <c r="C25" i="4"/>
  <c r="C18" i="9"/>
  <c r="C17" i="9"/>
  <c r="C16" i="7"/>
  <c r="C21" i="7"/>
  <c r="C26" i="7"/>
  <c r="C18" i="5"/>
  <c r="N62" i="15"/>
  <c r="N11" i="15"/>
  <c r="N73" i="15"/>
  <c r="N71" i="15"/>
  <c r="N69" i="15"/>
  <c r="N67" i="15"/>
  <c r="N65" i="15"/>
  <c r="N74" i="15"/>
  <c r="N72" i="15"/>
  <c r="N70" i="15"/>
  <c r="N63" i="15"/>
  <c r="N68" i="15"/>
  <c r="N66" i="15"/>
  <c r="N64" i="15"/>
  <c r="N61" i="15"/>
  <c r="C19" i="2"/>
  <c r="C17" i="2"/>
  <c r="C22" i="3"/>
  <c r="C23" i="3"/>
  <c r="C25" i="3"/>
  <c r="K27" i="8"/>
  <c r="D47" i="8"/>
  <c r="E27" i="8"/>
  <c r="G27" i="8" s="1"/>
  <c r="H27" i="8"/>
  <c r="I27" i="8" s="1"/>
  <c r="G47" i="8" s="1"/>
  <c r="D38" i="4"/>
  <c r="E18" i="4"/>
  <c r="G18" i="4" s="1"/>
  <c r="F38" i="4" s="1"/>
  <c r="H18" i="4"/>
  <c r="I18" i="4" s="1"/>
  <c r="G38" i="4" s="1"/>
  <c r="K18" i="4"/>
  <c r="D37" i="4"/>
  <c r="E17" i="4"/>
  <c r="G17" i="4" s="1"/>
  <c r="F37" i="4" s="1"/>
  <c r="H17" i="4"/>
  <c r="I17" i="4" s="1"/>
  <c r="G37" i="4" s="1"/>
  <c r="K17" i="4"/>
  <c r="C16" i="9"/>
  <c r="C20" i="9"/>
  <c r="C27" i="9"/>
  <c r="C19" i="7"/>
  <c r="C17" i="7"/>
  <c r="C25" i="7"/>
  <c r="C27" i="7"/>
  <c r="C20" i="2"/>
  <c r="C22" i="2"/>
  <c r="K61" i="15"/>
  <c r="K68" i="15"/>
  <c r="K64" i="15"/>
  <c r="K63" i="15"/>
  <c r="K62" i="15"/>
  <c r="K67" i="15"/>
  <c r="K73" i="15"/>
  <c r="K66" i="15"/>
  <c r="K72" i="15"/>
  <c r="K74" i="15"/>
  <c r="K71" i="15"/>
  <c r="K65" i="15"/>
  <c r="K70" i="15"/>
  <c r="K69" i="15"/>
  <c r="K11" i="15"/>
  <c r="G11" i="4"/>
  <c r="F11" i="4"/>
  <c r="F11" i="3"/>
  <c r="G11" i="8"/>
  <c r="G11" i="7"/>
  <c r="G11" i="5"/>
  <c r="J25" i="5" s="1"/>
  <c r="H45" i="5" s="1"/>
  <c r="F11" i="5"/>
  <c r="D25" i="5" s="1"/>
  <c r="F11" i="8"/>
  <c r="F11" i="7"/>
  <c r="G11" i="6"/>
  <c r="J23" i="6" s="1"/>
  <c r="H43" i="6" s="1"/>
  <c r="F11" i="9"/>
  <c r="G11" i="3"/>
  <c r="F11" i="6"/>
  <c r="D23" i="6" s="1"/>
  <c r="G11" i="9"/>
  <c r="G11" i="2"/>
  <c r="F11" i="2"/>
  <c r="E14" i="11"/>
  <c r="E15" i="11"/>
  <c r="B14" i="11"/>
  <c r="B15" i="11"/>
  <c r="I16" i="11"/>
  <c r="I20" i="12" s="1"/>
  <c r="I15" i="11"/>
  <c r="I14" i="11"/>
  <c r="F16" i="11"/>
  <c r="F20" i="12" s="1"/>
  <c r="F15" i="11"/>
  <c r="B16" i="11"/>
  <c r="B20" i="12" s="1"/>
  <c r="F14" i="11"/>
  <c r="E16" i="11"/>
  <c r="E20" i="12" s="1"/>
  <c r="D23" i="9" l="1"/>
  <c r="E43" i="9" s="1"/>
  <c r="D28" i="9"/>
  <c r="D26" i="9"/>
  <c r="D27" i="9"/>
  <c r="D24" i="9"/>
  <c r="J27" i="9"/>
  <c r="H47" i="9" s="1"/>
  <c r="D47" i="9"/>
  <c r="K27" i="9"/>
  <c r="E27" i="9"/>
  <c r="G27" i="9" s="1"/>
  <c r="F47" i="9" s="1"/>
  <c r="H27" i="9"/>
  <c r="I27" i="9" s="1"/>
  <c r="G47" i="9" s="1"/>
  <c r="F47" i="8"/>
  <c r="E25" i="3"/>
  <c r="G25" i="3" s="1"/>
  <c r="F45" i="3" s="1"/>
  <c r="K25" i="3"/>
  <c r="D45" i="3"/>
  <c r="H25" i="3"/>
  <c r="I25" i="3" s="1"/>
  <c r="G45" i="3" s="1"/>
  <c r="D39" i="2"/>
  <c r="E19" i="2"/>
  <c r="H19" i="2"/>
  <c r="I19" i="2" s="1"/>
  <c r="G39" i="2" s="1"/>
  <c r="K19" i="2"/>
  <c r="D38" i="5"/>
  <c r="E18" i="5"/>
  <c r="G18" i="5" s="1"/>
  <c r="F38" i="5" s="1"/>
  <c r="H18" i="5"/>
  <c r="I18" i="5" s="1"/>
  <c r="G38" i="5" s="1"/>
  <c r="K18" i="5"/>
  <c r="D37" i="9"/>
  <c r="E17" i="9"/>
  <c r="G17" i="9" s="1"/>
  <c r="F37" i="9" s="1"/>
  <c r="H17" i="9"/>
  <c r="I17" i="9" s="1"/>
  <c r="G37" i="9" s="1"/>
  <c r="K17" i="9"/>
  <c r="D24" i="8"/>
  <c r="E44" i="8" s="1"/>
  <c r="K24" i="8"/>
  <c r="E24" i="8"/>
  <c r="G24" i="8" s="1"/>
  <c r="H24" i="8"/>
  <c r="I24" i="8" s="1"/>
  <c r="G44" i="8" s="1"/>
  <c r="D44" i="8"/>
  <c r="D37" i="3"/>
  <c r="E17" i="3"/>
  <c r="G17" i="3" s="1"/>
  <c r="F37" i="3" s="1"/>
  <c r="H17" i="3"/>
  <c r="I17" i="3" s="1"/>
  <c r="G37" i="3" s="1"/>
  <c r="K17" i="3"/>
  <c r="L23" i="7"/>
  <c r="M23" i="7"/>
  <c r="L22" i="9"/>
  <c r="M22" i="9"/>
  <c r="M21" i="3"/>
  <c r="L21" i="3"/>
  <c r="D41" i="2"/>
  <c r="E21" i="2"/>
  <c r="H21" i="2"/>
  <c r="I21" i="2" s="1"/>
  <c r="G41" i="2" s="1"/>
  <c r="K21" i="2"/>
  <c r="D36" i="5"/>
  <c r="E16" i="5"/>
  <c r="H16" i="5"/>
  <c r="I16" i="5" s="1"/>
  <c r="G36" i="5" s="1"/>
  <c r="K16" i="5"/>
  <c r="F16" i="4"/>
  <c r="G16" i="4"/>
  <c r="F16" i="3"/>
  <c r="G16" i="3"/>
  <c r="K25" i="5"/>
  <c r="H25" i="5"/>
  <c r="I25" i="5" s="1"/>
  <c r="G45" i="5" s="1"/>
  <c r="D45" i="5"/>
  <c r="E25" i="5"/>
  <c r="G25" i="5" s="1"/>
  <c r="F45" i="5" s="1"/>
  <c r="E28" i="9"/>
  <c r="G28" i="9" s="1"/>
  <c r="F48" i="9" s="1"/>
  <c r="D48" i="9"/>
  <c r="K28" i="9"/>
  <c r="H28" i="9"/>
  <c r="I28" i="9" s="1"/>
  <c r="G48" i="9" s="1"/>
  <c r="D40" i="4"/>
  <c r="E20" i="4"/>
  <c r="G20" i="4" s="1"/>
  <c r="F40" i="4" s="1"/>
  <c r="K20" i="4"/>
  <c r="H20" i="4"/>
  <c r="I20" i="4" s="1"/>
  <c r="G40" i="4" s="1"/>
  <c r="E21" i="8"/>
  <c r="G21" i="8" s="1"/>
  <c r="F41" i="8" s="1"/>
  <c r="D41" i="8"/>
  <c r="K21" i="8"/>
  <c r="H21" i="8"/>
  <c r="I21" i="8" s="1"/>
  <c r="G41" i="8" s="1"/>
  <c r="D42" i="6"/>
  <c r="E22" i="6"/>
  <c r="G22" i="6" s="1"/>
  <c r="F42" i="6" s="1"/>
  <c r="H22" i="6"/>
  <c r="I22" i="6" s="1"/>
  <c r="G42" i="6" s="1"/>
  <c r="K22" i="6"/>
  <c r="E23" i="6"/>
  <c r="G23" i="6" s="1"/>
  <c r="F43" i="6" s="1"/>
  <c r="D43" i="6"/>
  <c r="H23" i="6"/>
  <c r="I23" i="6" s="1"/>
  <c r="G43" i="6" s="1"/>
  <c r="K23" i="6"/>
  <c r="L23" i="2"/>
  <c r="M23" i="2"/>
  <c r="E26" i="7"/>
  <c r="G26" i="7" s="1"/>
  <c r="F46" i="7" s="1"/>
  <c r="H26" i="7"/>
  <c r="I26" i="7" s="1"/>
  <c r="G46" i="7" s="1"/>
  <c r="K26" i="7"/>
  <c r="D46" i="7"/>
  <c r="D38" i="9"/>
  <c r="E18" i="9"/>
  <c r="G18" i="9" s="1"/>
  <c r="F38" i="9" s="1"/>
  <c r="H18" i="9"/>
  <c r="I18" i="9" s="1"/>
  <c r="G38" i="9" s="1"/>
  <c r="K18" i="9"/>
  <c r="D28" i="8"/>
  <c r="E48" i="8" s="1"/>
  <c r="K28" i="8"/>
  <c r="H28" i="8"/>
  <c r="I28" i="8" s="1"/>
  <c r="G48" i="8" s="1"/>
  <c r="E28" i="8"/>
  <c r="G28" i="8" s="1"/>
  <c r="F48" i="8" s="1"/>
  <c r="D48" i="8"/>
  <c r="H23" i="5"/>
  <c r="I23" i="5" s="1"/>
  <c r="G43" i="5" s="1"/>
  <c r="K23" i="5"/>
  <c r="D43" i="5"/>
  <c r="E23" i="5"/>
  <c r="G23" i="5" s="1"/>
  <c r="F43" i="5" s="1"/>
  <c r="D42" i="5"/>
  <c r="E22" i="5"/>
  <c r="G22" i="5" s="1"/>
  <c r="F42" i="5" s="1"/>
  <c r="H22" i="5"/>
  <c r="I22" i="5" s="1"/>
  <c r="G42" i="5" s="1"/>
  <c r="K22" i="5"/>
  <c r="F16" i="8"/>
  <c r="G16" i="8"/>
  <c r="D40" i="5"/>
  <c r="E20" i="5"/>
  <c r="G20" i="5" s="1"/>
  <c r="F40" i="5" s="1"/>
  <c r="H20" i="5"/>
  <c r="I20" i="5" s="1"/>
  <c r="G40" i="5" s="1"/>
  <c r="K20" i="5"/>
  <c r="D25" i="9"/>
  <c r="E45" i="9" s="1"/>
  <c r="K25" i="9"/>
  <c r="E25" i="9"/>
  <c r="G25" i="9" s="1"/>
  <c r="F45" i="9" s="1"/>
  <c r="D45" i="9"/>
  <c r="H25" i="9"/>
  <c r="I25" i="9" s="1"/>
  <c r="D39" i="9"/>
  <c r="E19" i="9"/>
  <c r="G19" i="9" s="1"/>
  <c r="F39" i="9" s="1"/>
  <c r="H19" i="9"/>
  <c r="I19" i="9" s="1"/>
  <c r="G39" i="9" s="1"/>
  <c r="K19" i="9"/>
  <c r="E29" i="8"/>
  <c r="G29" i="8" s="1"/>
  <c r="F49" i="8" s="1"/>
  <c r="K29" i="8"/>
  <c r="D49" i="8"/>
  <c r="H29" i="8"/>
  <c r="I29" i="8" s="1"/>
  <c r="G49" i="8" s="1"/>
  <c r="D44" i="3"/>
  <c r="E24" i="3"/>
  <c r="G24" i="3" s="1"/>
  <c r="F44" i="3" s="1"/>
  <c r="H24" i="3"/>
  <c r="I24" i="3" s="1"/>
  <c r="G44" i="3" s="1"/>
  <c r="K24" i="3"/>
  <c r="D40" i="3"/>
  <c r="E20" i="3"/>
  <c r="G20" i="3" s="1"/>
  <c r="F40" i="3" s="1"/>
  <c r="H20" i="3"/>
  <c r="I20" i="3" s="1"/>
  <c r="G40" i="3" s="1"/>
  <c r="K20" i="3"/>
  <c r="D41" i="6"/>
  <c r="E21" i="6"/>
  <c r="G21" i="6" s="1"/>
  <c r="F41" i="6" s="1"/>
  <c r="K21" i="6"/>
  <c r="H21" i="6"/>
  <c r="I21" i="6" s="1"/>
  <c r="G41" i="6" s="1"/>
  <c r="D37" i="6"/>
  <c r="E17" i="6"/>
  <c r="G17" i="6" s="1"/>
  <c r="F37" i="6" s="1"/>
  <c r="K17" i="6"/>
  <c r="H17" i="6"/>
  <c r="I17" i="6" s="1"/>
  <c r="G37" i="6" s="1"/>
  <c r="M23" i="9"/>
  <c r="L23" i="9"/>
  <c r="D27" i="7"/>
  <c r="E27" i="7"/>
  <c r="G27" i="7" s="1"/>
  <c r="F47" i="7" s="1"/>
  <c r="D47" i="7"/>
  <c r="K27" i="7"/>
  <c r="H27" i="7"/>
  <c r="I27" i="7" s="1"/>
  <c r="G47" i="7" s="1"/>
  <c r="D25" i="7"/>
  <c r="E45" i="7" s="1"/>
  <c r="D45" i="7"/>
  <c r="K25" i="7"/>
  <c r="E25" i="7"/>
  <c r="G25" i="7" s="1"/>
  <c r="H25" i="7"/>
  <c r="I25" i="7" s="1"/>
  <c r="G45" i="7" s="1"/>
  <c r="D40" i="9"/>
  <c r="E20" i="9"/>
  <c r="G20" i="9" s="1"/>
  <c r="F40" i="9" s="1"/>
  <c r="K20" i="9"/>
  <c r="H20" i="9"/>
  <c r="I20" i="9" s="1"/>
  <c r="G40" i="9" s="1"/>
  <c r="H23" i="3"/>
  <c r="I23" i="3" s="1"/>
  <c r="G43" i="3" s="1"/>
  <c r="K23" i="3"/>
  <c r="D43" i="3"/>
  <c r="E23" i="3"/>
  <c r="G23" i="3" s="1"/>
  <c r="F43" i="3" s="1"/>
  <c r="D42" i="2"/>
  <c r="E22" i="2"/>
  <c r="H22" i="2"/>
  <c r="I22" i="2" s="1"/>
  <c r="G42" i="2" s="1"/>
  <c r="K22" i="2"/>
  <c r="D37" i="7"/>
  <c r="E17" i="7"/>
  <c r="G17" i="7" s="1"/>
  <c r="F37" i="7" s="1"/>
  <c r="H17" i="7"/>
  <c r="I17" i="7" s="1"/>
  <c r="G37" i="7" s="1"/>
  <c r="K17" i="7"/>
  <c r="D36" i="9"/>
  <c r="E16" i="9"/>
  <c r="K16" i="9"/>
  <c r="H16" i="9"/>
  <c r="I16" i="9" s="1"/>
  <c r="G36" i="9" s="1"/>
  <c r="L27" i="8"/>
  <c r="M27" i="8"/>
  <c r="I47" i="8" s="1"/>
  <c r="D42" i="3"/>
  <c r="E22" i="3"/>
  <c r="G22" i="3" s="1"/>
  <c r="F42" i="3" s="1"/>
  <c r="H22" i="3"/>
  <c r="I22" i="3" s="1"/>
  <c r="G42" i="3" s="1"/>
  <c r="K22" i="3"/>
  <c r="D41" i="7"/>
  <c r="E21" i="7"/>
  <c r="G21" i="7" s="1"/>
  <c r="F41" i="7" s="1"/>
  <c r="K21" i="7"/>
  <c r="H21" i="7"/>
  <c r="I21" i="7" s="1"/>
  <c r="G41" i="7" s="1"/>
  <c r="E25" i="4"/>
  <c r="G25" i="4" s="1"/>
  <c r="F45" i="4" s="1"/>
  <c r="D45" i="4"/>
  <c r="K25" i="4"/>
  <c r="H25" i="4"/>
  <c r="I25" i="4" s="1"/>
  <c r="G45" i="4" s="1"/>
  <c r="D41" i="4"/>
  <c r="E21" i="4"/>
  <c r="G21" i="4" s="1"/>
  <c r="F41" i="4" s="1"/>
  <c r="H21" i="4"/>
  <c r="I21" i="4" s="1"/>
  <c r="G41" i="4" s="1"/>
  <c r="K21" i="4"/>
  <c r="E25" i="8"/>
  <c r="G25" i="8" s="1"/>
  <c r="F45" i="8" s="1"/>
  <c r="K25" i="8"/>
  <c r="D45" i="8"/>
  <c r="H25" i="8"/>
  <c r="I25" i="8" s="1"/>
  <c r="G45" i="8" s="1"/>
  <c r="E22" i="8"/>
  <c r="G22" i="8" s="1"/>
  <c r="F42" i="8" s="1"/>
  <c r="D42" i="8"/>
  <c r="H22" i="8"/>
  <c r="I22" i="8" s="1"/>
  <c r="G42" i="8" s="1"/>
  <c r="K22" i="8"/>
  <c r="D39" i="5"/>
  <c r="E19" i="5"/>
  <c r="G19" i="5" s="1"/>
  <c r="F39" i="5" s="1"/>
  <c r="H19" i="5"/>
  <c r="I19" i="5" s="1"/>
  <c r="G39" i="5" s="1"/>
  <c r="K19" i="5"/>
  <c r="M18" i="7"/>
  <c r="L18" i="7"/>
  <c r="M26" i="9"/>
  <c r="L26" i="9"/>
  <c r="I46" i="9" s="1"/>
  <c r="L24" i="4"/>
  <c r="M24" i="4"/>
  <c r="L16" i="4"/>
  <c r="M16" i="4"/>
  <c r="D38" i="2"/>
  <c r="H18" i="2"/>
  <c r="I18" i="2" s="1"/>
  <c r="G38" i="2" s="1"/>
  <c r="K18" i="2"/>
  <c r="E18" i="2"/>
  <c r="D41" i="5"/>
  <c r="E21" i="5"/>
  <c r="G21" i="5" s="1"/>
  <c r="F41" i="5" s="1"/>
  <c r="K21" i="5"/>
  <c r="H21" i="5"/>
  <c r="I21" i="5" s="1"/>
  <c r="G41" i="5" s="1"/>
  <c r="E26" i="4"/>
  <c r="G26" i="4" s="1"/>
  <c r="F46" i="4" s="1"/>
  <c r="D46" i="4"/>
  <c r="K26" i="4"/>
  <c r="H26" i="4"/>
  <c r="I26" i="4" s="1"/>
  <c r="G46" i="4" s="1"/>
  <c r="D23" i="8"/>
  <c r="D43" i="8"/>
  <c r="K23" i="8"/>
  <c r="E23" i="8"/>
  <c r="G23" i="8" s="1"/>
  <c r="F43" i="8" s="1"/>
  <c r="H23" i="8"/>
  <c r="I23" i="8" s="1"/>
  <c r="G43" i="8" s="1"/>
  <c r="D38" i="3"/>
  <c r="E18" i="3"/>
  <c r="G18" i="3" s="1"/>
  <c r="F38" i="3" s="1"/>
  <c r="H18" i="3"/>
  <c r="I18" i="3" s="1"/>
  <c r="G38" i="3" s="1"/>
  <c r="K18" i="3"/>
  <c r="D40" i="6"/>
  <c r="E20" i="6"/>
  <c r="G20" i="6" s="1"/>
  <c r="F40" i="6" s="1"/>
  <c r="H20" i="6"/>
  <c r="I20" i="6" s="1"/>
  <c r="G40" i="6" s="1"/>
  <c r="K20" i="6"/>
  <c r="D36" i="6"/>
  <c r="E16" i="6"/>
  <c r="K16" i="6"/>
  <c r="H16" i="6"/>
  <c r="I16" i="6" s="1"/>
  <c r="G36" i="6" s="1"/>
  <c r="M18" i="8"/>
  <c r="L18" i="8"/>
  <c r="F23" i="2"/>
  <c r="G23" i="2"/>
  <c r="J23" i="9"/>
  <c r="H43" i="9" s="1"/>
  <c r="J24" i="9"/>
  <c r="H44" i="9" s="1"/>
  <c r="J28" i="9"/>
  <c r="H48" i="9" s="1"/>
  <c r="J26" i="9"/>
  <c r="H46" i="9" s="1"/>
  <c r="J25" i="9"/>
  <c r="H45" i="9" s="1"/>
  <c r="D23" i="7"/>
  <c r="E43" i="7" s="1"/>
  <c r="D26" i="7"/>
  <c r="E46" i="7" s="1"/>
  <c r="J23" i="7"/>
  <c r="H43" i="7" s="1"/>
  <c r="J24" i="7"/>
  <c r="H44" i="7" s="1"/>
  <c r="J27" i="7"/>
  <c r="H47" i="7" s="1"/>
  <c r="J25" i="7"/>
  <c r="H45" i="7" s="1"/>
  <c r="J26" i="7"/>
  <c r="D25" i="8"/>
  <c r="D26" i="8"/>
  <c r="D29" i="8"/>
  <c r="E49" i="8" s="1"/>
  <c r="J27" i="8"/>
  <c r="H47" i="8" s="1"/>
  <c r="J26" i="8"/>
  <c r="H46" i="8" s="1"/>
  <c r="J24" i="8"/>
  <c r="H44" i="8" s="1"/>
  <c r="J25" i="8"/>
  <c r="H45" i="8" s="1"/>
  <c r="J28" i="8"/>
  <c r="H48" i="8" s="1"/>
  <c r="J29" i="8"/>
  <c r="J23" i="8"/>
  <c r="H43" i="8" s="1"/>
  <c r="D40" i="2"/>
  <c r="H20" i="2"/>
  <c r="I20" i="2" s="1"/>
  <c r="G40" i="2" s="1"/>
  <c r="K20" i="2"/>
  <c r="E20" i="2"/>
  <c r="D39" i="7"/>
  <c r="E19" i="7"/>
  <c r="G19" i="7" s="1"/>
  <c r="F39" i="7" s="1"/>
  <c r="K19" i="7"/>
  <c r="H19" i="7"/>
  <c r="I19" i="7" s="1"/>
  <c r="G39" i="7" s="1"/>
  <c r="M17" i="4"/>
  <c r="L17" i="4"/>
  <c r="M18" i="4"/>
  <c r="L18" i="4"/>
  <c r="D27" i="8"/>
  <c r="E47" i="8" s="1"/>
  <c r="D37" i="2"/>
  <c r="E17" i="2"/>
  <c r="H17" i="2"/>
  <c r="I17" i="2" s="1"/>
  <c r="G37" i="2" s="1"/>
  <c r="K17" i="2"/>
  <c r="D36" i="7"/>
  <c r="E16" i="7"/>
  <c r="H16" i="7"/>
  <c r="I16" i="7" s="1"/>
  <c r="G36" i="7" s="1"/>
  <c r="K16" i="7"/>
  <c r="D42" i="4"/>
  <c r="E22" i="4"/>
  <c r="G22" i="4" s="1"/>
  <c r="F42" i="4" s="1"/>
  <c r="H22" i="4"/>
  <c r="I22" i="4" s="1"/>
  <c r="G42" i="4" s="1"/>
  <c r="K22" i="4"/>
  <c r="H26" i="3"/>
  <c r="I26" i="3" s="1"/>
  <c r="G46" i="3" s="1"/>
  <c r="K26" i="3"/>
  <c r="E26" i="3"/>
  <c r="G26" i="3" s="1"/>
  <c r="F46" i="3" s="1"/>
  <c r="D46" i="3"/>
  <c r="M20" i="7"/>
  <c r="L20" i="7"/>
  <c r="M24" i="9"/>
  <c r="L24" i="9"/>
  <c r="M19" i="4"/>
  <c r="L19" i="4"/>
  <c r="L19" i="8"/>
  <c r="M19" i="8"/>
  <c r="D44" i="2"/>
  <c r="E24" i="2"/>
  <c r="H24" i="2"/>
  <c r="I24" i="2" s="1"/>
  <c r="G44" i="2" s="1"/>
  <c r="K24" i="2"/>
  <c r="D37" i="5"/>
  <c r="E17" i="5"/>
  <c r="G17" i="5" s="1"/>
  <c r="F37" i="5" s="1"/>
  <c r="K17" i="5"/>
  <c r="H17" i="5"/>
  <c r="I17" i="5" s="1"/>
  <c r="G37" i="5" s="1"/>
  <c r="L21" i="9"/>
  <c r="M21" i="9"/>
  <c r="L26" i="8"/>
  <c r="M26" i="8"/>
  <c r="L16" i="8"/>
  <c r="M16" i="8"/>
  <c r="M17" i="8"/>
  <c r="L17" i="8"/>
  <c r="M19" i="3"/>
  <c r="L19" i="3"/>
  <c r="L16" i="3"/>
  <c r="M16" i="3"/>
  <c r="D36" i="2"/>
  <c r="E16" i="2"/>
  <c r="H16" i="2"/>
  <c r="I16" i="2" s="1"/>
  <c r="G36" i="2" s="1"/>
  <c r="K16" i="2"/>
  <c r="D24" i="7"/>
  <c r="D44" i="7"/>
  <c r="K24" i="7"/>
  <c r="E24" i="7"/>
  <c r="G24" i="7" s="1"/>
  <c r="F44" i="7" s="1"/>
  <c r="H24" i="7"/>
  <c r="I24" i="7" s="1"/>
  <c r="G44" i="7" s="1"/>
  <c r="D42" i="7"/>
  <c r="E22" i="7"/>
  <c r="G22" i="7" s="1"/>
  <c r="F42" i="7" s="1"/>
  <c r="K22" i="7"/>
  <c r="H22" i="7"/>
  <c r="I22" i="7" s="1"/>
  <c r="G42" i="7" s="1"/>
  <c r="H23" i="4"/>
  <c r="I23" i="4" s="1"/>
  <c r="G43" i="4" s="1"/>
  <c r="D43" i="4"/>
  <c r="E23" i="4"/>
  <c r="G23" i="4" s="1"/>
  <c r="F43" i="4" s="1"/>
  <c r="K23" i="4"/>
  <c r="E20" i="8"/>
  <c r="G20" i="8" s="1"/>
  <c r="F40" i="8" s="1"/>
  <c r="D40" i="8"/>
  <c r="H20" i="8"/>
  <c r="I20" i="8" s="1"/>
  <c r="G40" i="8" s="1"/>
  <c r="K20" i="8"/>
  <c r="D39" i="6"/>
  <c r="E19" i="6"/>
  <c r="G19" i="6" s="1"/>
  <c r="F39" i="6" s="1"/>
  <c r="H19" i="6"/>
  <c r="I19" i="6" s="1"/>
  <c r="G39" i="6" s="1"/>
  <c r="K19" i="6"/>
  <c r="D38" i="6"/>
  <c r="E18" i="6"/>
  <c r="G18" i="6" s="1"/>
  <c r="F38" i="6" s="1"/>
  <c r="H18" i="6"/>
  <c r="I18" i="6" s="1"/>
  <c r="G38" i="6" s="1"/>
  <c r="K18" i="6"/>
  <c r="M24" i="5"/>
  <c r="L24" i="5"/>
  <c r="E43" i="6"/>
  <c r="J19" i="8"/>
  <c r="H39" i="8" s="1"/>
  <c r="J21" i="8"/>
  <c r="H41" i="8" s="1"/>
  <c r="J18" i="8"/>
  <c r="H38" i="8" s="1"/>
  <c r="J20" i="8"/>
  <c r="H40" i="8" s="1"/>
  <c r="J22" i="8"/>
  <c r="H42" i="8" s="1"/>
  <c r="J16" i="8"/>
  <c r="H36" i="8" s="1"/>
  <c r="J17" i="8"/>
  <c r="H37" i="8" s="1"/>
  <c r="D18" i="8"/>
  <c r="D20" i="8"/>
  <c r="E40" i="8" s="1"/>
  <c r="D22" i="8"/>
  <c r="E42" i="8" s="1"/>
  <c r="D19" i="8"/>
  <c r="D21" i="8"/>
  <c r="D17" i="8"/>
  <c r="D16" i="8"/>
  <c r="E36" i="8" s="1"/>
  <c r="N23" i="7"/>
  <c r="J43" i="7" s="1"/>
  <c r="D24" i="4"/>
  <c r="E44" i="4" s="1"/>
  <c r="D25" i="4"/>
  <c r="D26" i="4"/>
  <c r="D23" i="2"/>
  <c r="E43" i="2" s="1"/>
  <c r="D24" i="2"/>
  <c r="J24" i="3"/>
  <c r="H44" i="3" s="1"/>
  <c r="J25" i="3"/>
  <c r="H45" i="3" s="1"/>
  <c r="J26" i="3"/>
  <c r="H46" i="3" s="1"/>
  <c r="J23" i="2"/>
  <c r="H43" i="2" s="1"/>
  <c r="J24" i="2"/>
  <c r="H44" i="2" s="1"/>
  <c r="E45" i="5"/>
  <c r="D24" i="3"/>
  <c r="D25" i="3"/>
  <c r="D26" i="3"/>
  <c r="J22" i="4"/>
  <c r="H42" i="4" s="1"/>
  <c r="J25" i="4"/>
  <c r="H45" i="4" s="1"/>
  <c r="J26" i="4"/>
  <c r="H46" i="4" s="1"/>
  <c r="D23" i="5"/>
  <c r="D24" i="5"/>
  <c r="E44" i="3"/>
  <c r="J24" i="5"/>
  <c r="H44" i="5" s="1"/>
  <c r="J23" i="5"/>
  <c r="H43" i="5" s="1"/>
  <c r="J16" i="4"/>
  <c r="H36" i="4" s="1"/>
  <c r="J24" i="4"/>
  <c r="H44" i="4" s="1"/>
  <c r="J21" i="4"/>
  <c r="H41" i="4" s="1"/>
  <c r="D23" i="3"/>
  <c r="J23" i="3"/>
  <c r="H43" i="3" s="1"/>
  <c r="D23" i="4"/>
  <c r="J20" i="4"/>
  <c r="H40" i="4" s="1"/>
  <c r="J23" i="4"/>
  <c r="H43" i="4" s="1"/>
  <c r="J18" i="4"/>
  <c r="H38" i="4" s="1"/>
  <c r="J17" i="4"/>
  <c r="H37" i="4" s="1"/>
  <c r="J19" i="4"/>
  <c r="H39" i="4" s="1"/>
  <c r="D21" i="5"/>
  <c r="E41" i="5" s="1"/>
  <c r="D19" i="5"/>
  <c r="E39" i="5" s="1"/>
  <c r="D18" i="5"/>
  <c r="E38" i="5" s="1"/>
  <c r="D22" i="5"/>
  <c r="E42" i="5" s="1"/>
  <c r="D17" i="5"/>
  <c r="E37" i="5" s="1"/>
  <c r="D20" i="5"/>
  <c r="E40" i="5" s="1"/>
  <c r="D16" i="5"/>
  <c r="E36" i="5" s="1"/>
  <c r="J17" i="9"/>
  <c r="H37" i="9" s="1"/>
  <c r="J21" i="9"/>
  <c r="H41" i="9" s="1"/>
  <c r="J20" i="9"/>
  <c r="H40" i="9" s="1"/>
  <c r="J16" i="9"/>
  <c r="H36" i="9" s="1"/>
  <c r="J19" i="9"/>
  <c r="H39" i="9" s="1"/>
  <c r="J18" i="9"/>
  <c r="H38" i="9" s="1"/>
  <c r="J22" i="9"/>
  <c r="H42" i="9" s="1"/>
  <c r="J19" i="6"/>
  <c r="H39" i="6" s="1"/>
  <c r="J22" i="6"/>
  <c r="H42" i="6" s="1"/>
  <c r="J18" i="6"/>
  <c r="H38" i="6" s="1"/>
  <c r="J17" i="6"/>
  <c r="H37" i="6" s="1"/>
  <c r="J21" i="6"/>
  <c r="H41" i="6" s="1"/>
  <c r="J16" i="6"/>
  <c r="H36" i="6" s="1"/>
  <c r="J20" i="6"/>
  <c r="H40" i="6" s="1"/>
  <c r="J22" i="5"/>
  <c r="H42" i="5" s="1"/>
  <c r="J21" i="5"/>
  <c r="H41" i="5" s="1"/>
  <c r="J18" i="5"/>
  <c r="H38" i="5" s="1"/>
  <c r="J17" i="5"/>
  <c r="H37" i="5" s="1"/>
  <c r="J16" i="5"/>
  <c r="H36" i="5" s="1"/>
  <c r="J19" i="5"/>
  <c r="H39" i="5" s="1"/>
  <c r="J20" i="5"/>
  <c r="H40" i="5" s="1"/>
  <c r="D16" i="4"/>
  <c r="D22" i="4"/>
  <c r="D21" i="4"/>
  <c r="D20" i="4"/>
  <c r="D18" i="4"/>
  <c r="D17" i="4"/>
  <c r="D19" i="4"/>
  <c r="D20" i="6"/>
  <c r="E40" i="6" s="1"/>
  <c r="D19" i="6"/>
  <c r="E39" i="6" s="1"/>
  <c r="D22" i="6"/>
  <c r="E42" i="6" s="1"/>
  <c r="D18" i="6"/>
  <c r="D16" i="6"/>
  <c r="D17" i="6"/>
  <c r="E37" i="6" s="1"/>
  <c r="D21" i="6"/>
  <c r="E41" i="6" s="1"/>
  <c r="D20" i="7"/>
  <c r="E40" i="7" s="1"/>
  <c r="D16" i="7"/>
  <c r="E36" i="7" s="1"/>
  <c r="D19" i="7"/>
  <c r="E39" i="7" s="1"/>
  <c r="D17" i="7"/>
  <c r="E37" i="7" s="1"/>
  <c r="D21" i="7"/>
  <c r="E41" i="7" s="1"/>
  <c r="D22" i="7"/>
  <c r="E42" i="7" s="1"/>
  <c r="D18" i="7"/>
  <c r="E38" i="7" s="1"/>
  <c r="J20" i="7"/>
  <c r="H40" i="7" s="1"/>
  <c r="J19" i="7"/>
  <c r="H39" i="7" s="1"/>
  <c r="J16" i="7"/>
  <c r="H36" i="7" s="1"/>
  <c r="J17" i="7"/>
  <c r="H37" i="7" s="1"/>
  <c r="J22" i="7"/>
  <c r="H42" i="7" s="1"/>
  <c r="J21" i="7"/>
  <c r="H41" i="7" s="1"/>
  <c r="J18" i="7"/>
  <c r="H38" i="7" s="1"/>
  <c r="E37" i="8"/>
  <c r="E41" i="8"/>
  <c r="E39" i="8"/>
  <c r="E38" i="8"/>
  <c r="J21" i="3"/>
  <c r="H41" i="3" s="1"/>
  <c r="J20" i="3"/>
  <c r="H40" i="3" s="1"/>
  <c r="J17" i="3"/>
  <c r="H37" i="3" s="1"/>
  <c r="J18" i="3"/>
  <c r="H38" i="3" s="1"/>
  <c r="J22" i="3"/>
  <c r="H42" i="3" s="1"/>
  <c r="J16" i="3"/>
  <c r="H36" i="3" s="1"/>
  <c r="J19" i="3"/>
  <c r="H39" i="3" s="1"/>
  <c r="D18" i="9"/>
  <c r="D22" i="9"/>
  <c r="E42" i="9" s="1"/>
  <c r="D20" i="9"/>
  <c r="E40" i="9" s="1"/>
  <c r="D16" i="9"/>
  <c r="E36" i="9" s="1"/>
  <c r="D17" i="9"/>
  <c r="E37" i="9" s="1"/>
  <c r="D19" i="9"/>
  <c r="E39" i="9" s="1"/>
  <c r="D21" i="9"/>
  <c r="D21" i="3"/>
  <c r="E41" i="3" s="1"/>
  <c r="D17" i="3"/>
  <c r="D19" i="3"/>
  <c r="E39" i="3" s="1"/>
  <c r="D18" i="3"/>
  <c r="E38" i="3" s="1"/>
  <c r="D22" i="3"/>
  <c r="E42" i="3" s="1"/>
  <c r="D16" i="3"/>
  <c r="E36" i="3" s="1"/>
  <c r="D20" i="3"/>
  <c r="E40" i="3" s="1"/>
  <c r="J18" i="2"/>
  <c r="H38" i="2" s="1"/>
  <c r="J22" i="2"/>
  <c r="H42" i="2" s="1"/>
  <c r="J19" i="2"/>
  <c r="H39" i="2" s="1"/>
  <c r="J16" i="2"/>
  <c r="H36" i="2" s="1"/>
  <c r="J20" i="2"/>
  <c r="H40" i="2" s="1"/>
  <c r="J17" i="2"/>
  <c r="H37" i="2" s="1"/>
  <c r="J21" i="2"/>
  <c r="H41" i="2" s="1"/>
  <c r="D19" i="2"/>
  <c r="E39" i="2" s="1"/>
  <c r="D20" i="2"/>
  <c r="E40" i="2" s="1"/>
  <c r="D17" i="2"/>
  <c r="E37" i="2" s="1"/>
  <c r="D21" i="2"/>
  <c r="E41" i="2" s="1"/>
  <c r="D18" i="2"/>
  <c r="E38" i="2" s="1"/>
  <c r="D22" i="2"/>
  <c r="E42" i="2" s="1"/>
  <c r="D16" i="2"/>
  <c r="E36" i="2" s="1"/>
  <c r="N23" i="9" l="1"/>
  <c r="J43" i="9" s="1"/>
  <c r="I37" i="4"/>
  <c r="I39" i="3"/>
  <c r="I41" i="9"/>
  <c r="I38" i="7"/>
  <c r="I43" i="2"/>
  <c r="I44" i="5"/>
  <c r="I39" i="8"/>
  <c r="F36" i="3"/>
  <c r="I43" i="7"/>
  <c r="M16" i="2"/>
  <c r="L16" i="2"/>
  <c r="I36" i="3"/>
  <c r="I37" i="8"/>
  <c r="I46" i="8"/>
  <c r="M24" i="2"/>
  <c r="L24" i="2"/>
  <c r="I44" i="9"/>
  <c r="M22" i="4"/>
  <c r="L22" i="4"/>
  <c r="N22" i="4" s="1"/>
  <c r="M16" i="7"/>
  <c r="L16" i="7"/>
  <c r="M17" i="2"/>
  <c r="L17" i="2"/>
  <c r="F43" i="2"/>
  <c r="M16" i="6"/>
  <c r="L16" i="6"/>
  <c r="I36" i="6" s="1"/>
  <c r="G18" i="2"/>
  <c r="F18" i="2"/>
  <c r="L19" i="5"/>
  <c r="M19" i="5"/>
  <c r="I39" i="5" s="1"/>
  <c r="L22" i="8"/>
  <c r="N22" i="8" s="1"/>
  <c r="M22" i="8"/>
  <c r="L21" i="4"/>
  <c r="M21" i="4"/>
  <c r="I41" i="4" s="1"/>
  <c r="L22" i="3"/>
  <c r="N22" i="3" s="1"/>
  <c r="M22" i="3"/>
  <c r="G16" i="9"/>
  <c r="F16" i="9"/>
  <c r="F36" i="9" s="1"/>
  <c r="F22" i="2"/>
  <c r="G22" i="2"/>
  <c r="L23" i="3"/>
  <c r="M23" i="3"/>
  <c r="N23" i="3" s="1"/>
  <c r="L25" i="7"/>
  <c r="N25" i="7" s="1"/>
  <c r="M25" i="7"/>
  <c r="L27" i="7"/>
  <c r="M27" i="7"/>
  <c r="N27" i="7" s="1"/>
  <c r="I43" i="9"/>
  <c r="M29" i="8"/>
  <c r="L29" i="8"/>
  <c r="F36" i="8"/>
  <c r="L28" i="8"/>
  <c r="M28" i="8"/>
  <c r="L23" i="6"/>
  <c r="M23" i="6"/>
  <c r="M22" i="6"/>
  <c r="L22" i="6"/>
  <c r="L25" i="5"/>
  <c r="M25" i="5"/>
  <c r="F36" i="4"/>
  <c r="I42" i="9"/>
  <c r="L17" i="9"/>
  <c r="M17" i="9"/>
  <c r="N17" i="9" s="1"/>
  <c r="L18" i="5"/>
  <c r="M18" i="5"/>
  <c r="L19" i="2"/>
  <c r="M19" i="2"/>
  <c r="I39" i="2" s="1"/>
  <c r="L27" i="9"/>
  <c r="M27" i="9"/>
  <c r="E47" i="9"/>
  <c r="L24" i="7"/>
  <c r="M24" i="7"/>
  <c r="M17" i="5"/>
  <c r="L17" i="5"/>
  <c r="I38" i="4"/>
  <c r="F20" i="2"/>
  <c r="G20" i="2"/>
  <c r="E46" i="8"/>
  <c r="N26" i="8"/>
  <c r="I38" i="8"/>
  <c r="G16" i="6"/>
  <c r="F16" i="6"/>
  <c r="L23" i="8"/>
  <c r="M23" i="8"/>
  <c r="M26" i="4"/>
  <c r="L26" i="4"/>
  <c r="M21" i="5"/>
  <c r="L21" i="5"/>
  <c r="M18" i="2"/>
  <c r="L18" i="2"/>
  <c r="I36" i="4"/>
  <c r="L25" i="4"/>
  <c r="M25" i="4"/>
  <c r="M21" i="7"/>
  <c r="L21" i="7"/>
  <c r="N21" i="7" s="1"/>
  <c r="L25" i="9"/>
  <c r="M25" i="9"/>
  <c r="L22" i="5"/>
  <c r="M22" i="5"/>
  <c r="N22" i="5" s="1"/>
  <c r="L21" i="8"/>
  <c r="M21" i="8"/>
  <c r="L20" i="4"/>
  <c r="M20" i="4"/>
  <c r="N20" i="4" s="1"/>
  <c r="M28" i="9"/>
  <c r="L28" i="9"/>
  <c r="M16" i="5"/>
  <c r="L16" i="5"/>
  <c r="M21" i="2"/>
  <c r="L21" i="2"/>
  <c r="I41" i="3"/>
  <c r="F44" i="8"/>
  <c r="N27" i="8"/>
  <c r="E46" i="9"/>
  <c r="N26" i="9"/>
  <c r="M18" i="6"/>
  <c r="L18" i="6"/>
  <c r="M19" i="6"/>
  <c r="L19" i="6"/>
  <c r="L20" i="8"/>
  <c r="M20" i="8"/>
  <c r="M23" i="4"/>
  <c r="L23" i="4"/>
  <c r="F16" i="2"/>
  <c r="G16" i="2"/>
  <c r="F24" i="2"/>
  <c r="G24" i="2"/>
  <c r="I39" i="4"/>
  <c r="I40" i="7"/>
  <c r="M26" i="3"/>
  <c r="N26" i="3" s="1"/>
  <c r="L26" i="3"/>
  <c r="G16" i="7"/>
  <c r="F16" i="7"/>
  <c r="G17" i="2"/>
  <c r="F17" i="2"/>
  <c r="L19" i="7"/>
  <c r="M19" i="7"/>
  <c r="L20" i="2"/>
  <c r="M20" i="2"/>
  <c r="N29" i="8"/>
  <c r="H49" i="8"/>
  <c r="E45" i="8"/>
  <c r="M25" i="8"/>
  <c r="L25" i="8"/>
  <c r="M17" i="7"/>
  <c r="N17" i="7" s="1"/>
  <c r="L17" i="7"/>
  <c r="M22" i="2"/>
  <c r="L22" i="2"/>
  <c r="L20" i="3"/>
  <c r="M20" i="3"/>
  <c r="L24" i="3"/>
  <c r="M24" i="3"/>
  <c r="L19" i="9"/>
  <c r="M19" i="9"/>
  <c r="G45" i="9"/>
  <c r="M18" i="9"/>
  <c r="L18" i="9"/>
  <c r="L24" i="8"/>
  <c r="M24" i="8"/>
  <c r="F19" i="2"/>
  <c r="G19" i="2"/>
  <c r="M25" i="3"/>
  <c r="L25" i="3"/>
  <c r="E48" i="9"/>
  <c r="L22" i="7"/>
  <c r="M22" i="7"/>
  <c r="E44" i="7"/>
  <c r="I36" i="8"/>
  <c r="H46" i="7"/>
  <c r="M20" i="6"/>
  <c r="L20" i="6"/>
  <c r="L18" i="3"/>
  <c r="M18" i="3"/>
  <c r="E43" i="8"/>
  <c r="I44" i="4"/>
  <c r="L16" i="9"/>
  <c r="M16" i="9"/>
  <c r="M20" i="9"/>
  <c r="L20" i="9"/>
  <c r="F45" i="7"/>
  <c r="E47" i="7"/>
  <c r="L17" i="6"/>
  <c r="M17" i="6"/>
  <c r="L21" i="6"/>
  <c r="M21" i="6"/>
  <c r="L20" i="5"/>
  <c r="M20" i="5"/>
  <c r="L23" i="5"/>
  <c r="M23" i="5"/>
  <c r="M26" i="7"/>
  <c r="L26" i="7"/>
  <c r="F16" i="5"/>
  <c r="G16" i="5"/>
  <c r="G21" i="2"/>
  <c r="F21" i="2"/>
  <c r="L17" i="3"/>
  <c r="M17" i="3"/>
  <c r="E44" i="9"/>
  <c r="N24" i="9"/>
  <c r="O23" i="9"/>
  <c r="K43" i="9" s="1"/>
  <c r="O23" i="7"/>
  <c r="K43" i="7" s="1"/>
  <c r="E46" i="3"/>
  <c r="E46" i="4"/>
  <c r="N26" i="4"/>
  <c r="N23" i="2"/>
  <c r="J43" i="2" s="1"/>
  <c r="N24" i="4"/>
  <c r="O24" i="4" s="1"/>
  <c r="E45" i="3"/>
  <c r="E45" i="4"/>
  <c r="E44" i="2"/>
  <c r="E44" i="5"/>
  <c r="N24" i="5"/>
  <c r="E43" i="5"/>
  <c r="E43" i="4"/>
  <c r="N23" i="4"/>
  <c r="E43" i="3"/>
  <c r="E38" i="6"/>
  <c r="N19" i="4"/>
  <c r="E39" i="4"/>
  <c r="E41" i="4"/>
  <c r="N18" i="4"/>
  <c r="E38" i="4"/>
  <c r="N21" i="9"/>
  <c r="E41" i="9"/>
  <c r="E40" i="4"/>
  <c r="E37" i="3"/>
  <c r="E38" i="9"/>
  <c r="N17" i="4"/>
  <c r="E37" i="4"/>
  <c r="E42" i="4"/>
  <c r="N16" i="4"/>
  <c r="J36" i="4" s="1"/>
  <c r="E36" i="4"/>
  <c r="N16" i="6"/>
  <c r="O16" i="6" s="1"/>
  <c r="Q16" i="6" s="1"/>
  <c r="E36" i="6"/>
  <c r="N21" i="3"/>
  <c r="N19" i="6"/>
  <c r="N22" i="9"/>
  <c r="N16" i="3"/>
  <c r="N19" i="3"/>
  <c r="N18" i="8"/>
  <c r="N19" i="8"/>
  <c r="N20" i="7"/>
  <c r="N16" i="8"/>
  <c r="N17" i="8"/>
  <c r="N18" i="7"/>
  <c r="N17" i="5"/>
  <c r="N19" i="9" l="1"/>
  <c r="N21" i="8"/>
  <c r="N25" i="4"/>
  <c r="N22" i="7"/>
  <c r="O22" i="7" s="1"/>
  <c r="N20" i="3"/>
  <c r="N28" i="9"/>
  <c r="N25" i="9"/>
  <c r="N21" i="5"/>
  <c r="O21" i="5" s="1"/>
  <c r="N20" i="2"/>
  <c r="N18" i="2"/>
  <c r="N25" i="3"/>
  <c r="N20" i="9"/>
  <c r="O20" i="9" s="1"/>
  <c r="Q20" i="9" s="1"/>
  <c r="N16" i="7"/>
  <c r="N16" i="2"/>
  <c r="N20" i="8"/>
  <c r="N18" i="6"/>
  <c r="J38" i="6" s="1"/>
  <c r="N23" i="8"/>
  <c r="N24" i="7"/>
  <c r="N20" i="6"/>
  <c r="N19" i="7"/>
  <c r="J39" i="7" s="1"/>
  <c r="N18" i="9"/>
  <c r="N21" i="2"/>
  <c r="N20" i="5"/>
  <c r="O20" i="5" s="1"/>
  <c r="N17" i="6"/>
  <c r="O17" i="6" s="1"/>
  <c r="Q17" i="6" s="1"/>
  <c r="N21" i="6"/>
  <c r="N21" i="4"/>
  <c r="N19" i="5"/>
  <c r="N16" i="9"/>
  <c r="J36" i="9" s="1"/>
  <c r="N19" i="2"/>
  <c r="O19" i="2" s="1"/>
  <c r="Q19" i="2" s="1"/>
  <c r="N17" i="3"/>
  <c r="N23" i="5"/>
  <c r="O23" i="5" s="1"/>
  <c r="I45" i="4"/>
  <c r="N27" i="9"/>
  <c r="O27" i="9" s="1"/>
  <c r="N18" i="5"/>
  <c r="N22" i="6"/>
  <c r="O22" i="6" s="1"/>
  <c r="Q22" i="6" s="1"/>
  <c r="N22" i="2"/>
  <c r="O22" i="2" s="1"/>
  <c r="Q22" i="2" s="1"/>
  <c r="C28" i="15" s="1"/>
  <c r="I42" i="8"/>
  <c r="N17" i="2"/>
  <c r="N24" i="2"/>
  <c r="J44" i="2" s="1"/>
  <c r="N16" i="5"/>
  <c r="J36" i="5" s="1"/>
  <c r="N18" i="3"/>
  <c r="O18" i="3" s="1"/>
  <c r="I38" i="2"/>
  <c r="I46" i="4"/>
  <c r="F36" i="6"/>
  <c r="I37" i="5"/>
  <c r="I42" i="7"/>
  <c r="I44" i="8"/>
  <c r="I40" i="4"/>
  <c r="N26" i="7"/>
  <c r="O26" i="7" s="1"/>
  <c r="I39" i="9"/>
  <c r="I45" i="9"/>
  <c r="I41" i="5"/>
  <c r="I43" i="8"/>
  <c r="I38" i="5"/>
  <c r="I42" i="6"/>
  <c r="I40" i="6"/>
  <c r="F44" i="2"/>
  <c r="I37" i="6"/>
  <c r="I36" i="9"/>
  <c r="I38" i="3"/>
  <c r="I39" i="7"/>
  <c r="F36" i="2"/>
  <c r="I41" i="6"/>
  <c r="O27" i="7"/>
  <c r="J47" i="7"/>
  <c r="I40" i="9"/>
  <c r="I45" i="3"/>
  <c r="I42" i="2"/>
  <c r="I45" i="8"/>
  <c r="F36" i="7"/>
  <c r="I40" i="8"/>
  <c r="I38" i="6"/>
  <c r="J47" i="8"/>
  <c r="O27" i="8"/>
  <c r="I41" i="2"/>
  <c r="I48" i="9"/>
  <c r="F40" i="2"/>
  <c r="I37" i="9"/>
  <c r="I45" i="5"/>
  <c r="N25" i="5"/>
  <c r="I43" i="6"/>
  <c r="N23" i="6"/>
  <c r="I49" i="8"/>
  <c r="I47" i="7"/>
  <c r="I43" i="3"/>
  <c r="I36" i="7"/>
  <c r="I37" i="3"/>
  <c r="F36" i="5"/>
  <c r="I43" i="5"/>
  <c r="O23" i="8"/>
  <c r="J43" i="8"/>
  <c r="O25" i="9"/>
  <c r="J45" i="9"/>
  <c r="I44" i="3"/>
  <c r="N24" i="3"/>
  <c r="O29" i="8"/>
  <c r="J49" i="8"/>
  <c r="I41" i="8"/>
  <c r="F42" i="2"/>
  <c r="I42" i="3"/>
  <c r="F38" i="2"/>
  <c r="I44" i="2"/>
  <c r="O24" i="9"/>
  <c r="J44" i="9"/>
  <c r="F41" i="2"/>
  <c r="I46" i="7"/>
  <c r="I40" i="5"/>
  <c r="O24" i="7"/>
  <c r="J44" i="7"/>
  <c r="O28" i="9"/>
  <c r="J48" i="9"/>
  <c r="F39" i="2"/>
  <c r="I38" i="9"/>
  <c r="I40" i="3"/>
  <c r="I37" i="7"/>
  <c r="N25" i="8"/>
  <c r="I40" i="2"/>
  <c r="F37" i="2"/>
  <c r="I46" i="3"/>
  <c r="I43" i="4"/>
  <c r="I39" i="6"/>
  <c r="O26" i="9"/>
  <c r="J46" i="9"/>
  <c r="N24" i="8"/>
  <c r="I36" i="5"/>
  <c r="I42" i="5"/>
  <c r="I41" i="7"/>
  <c r="O26" i="8"/>
  <c r="J46" i="8"/>
  <c r="I44" i="7"/>
  <c r="I47" i="9"/>
  <c r="N28" i="8"/>
  <c r="I48" i="8"/>
  <c r="I45" i="7"/>
  <c r="I37" i="2"/>
  <c r="I42" i="4"/>
  <c r="I36" i="2"/>
  <c r="O25" i="7"/>
  <c r="J45" i="7"/>
  <c r="J47" i="9"/>
  <c r="G22" i="15"/>
  <c r="M36" i="6"/>
  <c r="Q23" i="9"/>
  <c r="P23" i="9"/>
  <c r="L43" i="9" s="1"/>
  <c r="P23" i="7"/>
  <c r="L43" i="7" s="1"/>
  <c r="Q23" i="7"/>
  <c r="O23" i="2"/>
  <c r="Q23" i="2" s="1"/>
  <c r="C70" i="15" s="1"/>
  <c r="O26" i="3"/>
  <c r="J46" i="3"/>
  <c r="J44" i="4"/>
  <c r="O24" i="2"/>
  <c r="O25" i="3"/>
  <c r="J45" i="3"/>
  <c r="O26" i="4"/>
  <c r="J46" i="4"/>
  <c r="O25" i="4"/>
  <c r="J45" i="4"/>
  <c r="J43" i="5"/>
  <c r="K44" i="4"/>
  <c r="P24" i="4"/>
  <c r="L44" i="4" s="1"/>
  <c r="Q24" i="4"/>
  <c r="O24" i="5"/>
  <c r="J44" i="5"/>
  <c r="J43" i="3"/>
  <c r="O23" i="3"/>
  <c r="J43" i="4"/>
  <c r="O23" i="4"/>
  <c r="J36" i="6"/>
  <c r="O16" i="4"/>
  <c r="Q16" i="4" s="1"/>
  <c r="O17" i="8"/>
  <c r="J37" i="8"/>
  <c r="O21" i="7"/>
  <c r="P21" i="7" s="1"/>
  <c r="J41" i="7"/>
  <c r="J42" i="6"/>
  <c r="O21" i="6"/>
  <c r="Q21" i="6" s="1"/>
  <c r="J41" i="6"/>
  <c r="J41" i="5"/>
  <c r="O17" i="7"/>
  <c r="P17" i="7" s="1"/>
  <c r="J37" i="7"/>
  <c r="O19" i="8"/>
  <c r="J39" i="8"/>
  <c r="J38" i="3"/>
  <c r="O17" i="9"/>
  <c r="Q17" i="9" s="1"/>
  <c r="J37" i="9"/>
  <c r="O22" i="4"/>
  <c r="Q22" i="4" s="1"/>
  <c r="E28" i="15" s="1"/>
  <c r="J42" i="4"/>
  <c r="O18" i="4"/>
  <c r="Q18" i="4" s="1"/>
  <c r="J38" i="4"/>
  <c r="O20" i="2"/>
  <c r="Q20" i="2" s="1"/>
  <c r="J40" i="2"/>
  <c r="O17" i="5"/>
  <c r="J37" i="5"/>
  <c r="O21" i="8"/>
  <c r="J41" i="8"/>
  <c r="O18" i="5"/>
  <c r="J38" i="5"/>
  <c r="O18" i="8"/>
  <c r="J38" i="8"/>
  <c r="O22" i="5"/>
  <c r="J42" i="5"/>
  <c r="O20" i="8"/>
  <c r="J40" i="8"/>
  <c r="O19" i="9"/>
  <c r="Q19" i="9" s="1"/>
  <c r="J39" i="9"/>
  <c r="O20" i="3"/>
  <c r="Q20" i="3" s="1"/>
  <c r="J40" i="3"/>
  <c r="O21" i="3"/>
  <c r="Q21" i="3" s="1"/>
  <c r="J41" i="3"/>
  <c r="O17" i="2"/>
  <c r="Q17" i="2" s="1"/>
  <c r="J37" i="2"/>
  <c r="O19" i="3"/>
  <c r="J39" i="3"/>
  <c r="O19" i="7"/>
  <c r="Q19" i="7" s="1"/>
  <c r="O22" i="8"/>
  <c r="J42" i="8"/>
  <c r="O22" i="9"/>
  <c r="Q22" i="9" s="1"/>
  <c r="J42" i="9"/>
  <c r="O18" i="9"/>
  <c r="Q18" i="9" s="1"/>
  <c r="J38" i="9"/>
  <c r="O20" i="4"/>
  <c r="Q20" i="4" s="1"/>
  <c r="J40" i="4"/>
  <c r="O19" i="4"/>
  <c r="Q19" i="4" s="1"/>
  <c r="J39" i="4"/>
  <c r="O21" i="2"/>
  <c r="Q21" i="2" s="1"/>
  <c r="J41" i="2"/>
  <c r="O18" i="7"/>
  <c r="P18" i="7" s="1"/>
  <c r="J38" i="7"/>
  <c r="O19" i="5"/>
  <c r="J39" i="5"/>
  <c r="O20" i="7"/>
  <c r="P20" i="7" s="1"/>
  <c r="J40" i="7"/>
  <c r="O20" i="6"/>
  <c r="Q20" i="6" s="1"/>
  <c r="J40" i="6"/>
  <c r="O18" i="2"/>
  <c r="Q18" i="2" s="1"/>
  <c r="J38" i="2"/>
  <c r="O19" i="6"/>
  <c r="Q19" i="6" s="1"/>
  <c r="J39" i="6"/>
  <c r="O22" i="3"/>
  <c r="Q22" i="3" s="1"/>
  <c r="D28" i="15" s="1"/>
  <c r="J42" i="3"/>
  <c r="O17" i="4"/>
  <c r="Q17" i="4" s="1"/>
  <c r="J37" i="4"/>
  <c r="O17" i="3"/>
  <c r="Q17" i="3" s="1"/>
  <c r="J37" i="3"/>
  <c r="O21" i="9"/>
  <c r="Q21" i="9" s="1"/>
  <c r="J41" i="9"/>
  <c r="O21" i="4"/>
  <c r="Q21" i="4" s="1"/>
  <c r="J41" i="4"/>
  <c r="O18" i="6"/>
  <c r="Q18" i="6" s="1"/>
  <c r="K36" i="6"/>
  <c r="P16" i="6"/>
  <c r="G22" i="13" s="1"/>
  <c r="O16" i="8"/>
  <c r="J36" i="8"/>
  <c r="O16" i="5"/>
  <c r="O16" i="3"/>
  <c r="Q16" i="3" s="1"/>
  <c r="J36" i="3"/>
  <c r="O16" i="2"/>
  <c r="Q16" i="2" s="1"/>
  <c r="J36" i="2"/>
  <c r="O16" i="7"/>
  <c r="J36" i="7"/>
  <c r="O16" i="9"/>
  <c r="Q16" i="9" s="1"/>
  <c r="P18" i="5"/>
  <c r="J40" i="9" l="1"/>
  <c r="J42" i="7"/>
  <c r="J37" i="6"/>
  <c r="J42" i="2"/>
  <c r="J40" i="5"/>
  <c r="J39" i="2"/>
  <c r="P23" i="2"/>
  <c r="L43" i="2" s="1"/>
  <c r="K43" i="2"/>
  <c r="J46" i="7"/>
  <c r="K47" i="9"/>
  <c r="Q27" i="9"/>
  <c r="P27" i="9"/>
  <c r="L47" i="9" s="1"/>
  <c r="O28" i="8"/>
  <c r="J48" i="8"/>
  <c r="Q26" i="8"/>
  <c r="P26" i="8"/>
  <c r="L46" i="8" s="1"/>
  <c r="K46" i="8"/>
  <c r="O24" i="8"/>
  <c r="J44" i="8"/>
  <c r="O25" i="8"/>
  <c r="J45" i="8"/>
  <c r="K44" i="7"/>
  <c r="Q24" i="7"/>
  <c r="P24" i="7"/>
  <c r="L44" i="7" s="1"/>
  <c r="Q29" i="8"/>
  <c r="P29" i="8"/>
  <c r="L49" i="8" s="1"/>
  <c r="K49" i="8"/>
  <c r="K45" i="9"/>
  <c r="Q25" i="9"/>
  <c r="P25" i="9"/>
  <c r="L45" i="9" s="1"/>
  <c r="O25" i="5"/>
  <c r="J45" i="5"/>
  <c r="K47" i="7"/>
  <c r="Q27" i="7"/>
  <c r="P27" i="7"/>
  <c r="L47" i="7" s="1"/>
  <c r="M43" i="9"/>
  <c r="J66" i="15"/>
  <c r="J82" i="15" s="1"/>
  <c r="K44" i="9"/>
  <c r="Q24" i="9"/>
  <c r="P24" i="9"/>
  <c r="L44" i="9" s="1"/>
  <c r="O24" i="3"/>
  <c r="J44" i="3"/>
  <c r="M43" i="7"/>
  <c r="H67" i="15"/>
  <c r="H83" i="15" s="1"/>
  <c r="H96" i="15" s="1"/>
  <c r="K45" i="7"/>
  <c r="Q25" i="7"/>
  <c r="P25" i="7"/>
  <c r="L45" i="7" s="1"/>
  <c r="K46" i="9"/>
  <c r="Q26" i="9"/>
  <c r="P26" i="9"/>
  <c r="L46" i="9" s="1"/>
  <c r="K48" i="9"/>
  <c r="P28" i="9"/>
  <c r="L48" i="9" s="1"/>
  <c r="Q28" i="9"/>
  <c r="Q23" i="8"/>
  <c r="I64" i="15" s="1"/>
  <c r="I80" i="15" s="1"/>
  <c r="P23" i="8"/>
  <c r="L43" i="8" s="1"/>
  <c r="K43" i="8"/>
  <c r="O23" i="6"/>
  <c r="J43" i="6"/>
  <c r="Q27" i="8"/>
  <c r="K47" i="8"/>
  <c r="P27" i="8"/>
  <c r="L47" i="8" s="1"/>
  <c r="K46" i="7"/>
  <c r="Q26" i="7"/>
  <c r="P26" i="7"/>
  <c r="L46" i="7" s="1"/>
  <c r="M41" i="6"/>
  <c r="G27" i="15"/>
  <c r="M38" i="6"/>
  <c r="G24" i="15"/>
  <c r="G13" i="15" s="1"/>
  <c r="G25" i="15"/>
  <c r="G14" i="15" s="1"/>
  <c r="M39" i="6"/>
  <c r="M40" i="6"/>
  <c r="G26" i="15"/>
  <c r="G15" i="15" s="1"/>
  <c r="M37" i="6"/>
  <c r="G23" i="15"/>
  <c r="G12" i="15" s="1"/>
  <c r="M42" i="6"/>
  <c r="G28" i="15"/>
  <c r="G11" i="13"/>
  <c r="G11" i="15"/>
  <c r="M36" i="9"/>
  <c r="J22" i="15"/>
  <c r="M38" i="9"/>
  <c r="J24" i="15"/>
  <c r="J28" i="15"/>
  <c r="M42" i="9"/>
  <c r="J25" i="15"/>
  <c r="M39" i="9"/>
  <c r="J23" i="15"/>
  <c r="M37" i="9"/>
  <c r="J27" i="15"/>
  <c r="M41" i="9"/>
  <c r="M40" i="9"/>
  <c r="J26" i="15"/>
  <c r="K36" i="8"/>
  <c r="Q16" i="8"/>
  <c r="K40" i="8"/>
  <c r="Q20" i="8"/>
  <c r="K38" i="8"/>
  <c r="Q18" i="8"/>
  <c r="K41" i="8"/>
  <c r="Q21" i="8"/>
  <c r="K39" i="8"/>
  <c r="Q19" i="8"/>
  <c r="K37" i="8"/>
  <c r="Q17" i="8"/>
  <c r="K42" i="8"/>
  <c r="Q22" i="8"/>
  <c r="P22" i="8"/>
  <c r="L42" i="8" s="1"/>
  <c r="K42" i="7"/>
  <c r="Q22" i="7"/>
  <c r="K40" i="7"/>
  <c r="Q20" i="7"/>
  <c r="K38" i="7"/>
  <c r="Q18" i="7"/>
  <c r="H25" i="15"/>
  <c r="M39" i="7"/>
  <c r="K37" i="7"/>
  <c r="Q17" i="7"/>
  <c r="K41" i="7"/>
  <c r="Q21" i="7"/>
  <c r="K36" i="7"/>
  <c r="Q16" i="7"/>
  <c r="K44" i="2"/>
  <c r="Q24" i="2"/>
  <c r="P24" i="2"/>
  <c r="L44" i="2" s="1"/>
  <c r="K46" i="4"/>
  <c r="P26" i="4"/>
  <c r="L46" i="4" s="1"/>
  <c r="Q26" i="4"/>
  <c r="K45" i="4"/>
  <c r="Q25" i="4"/>
  <c r="P25" i="4"/>
  <c r="L45" i="4" s="1"/>
  <c r="P25" i="3"/>
  <c r="L45" i="3" s="1"/>
  <c r="K45" i="3"/>
  <c r="Q25" i="3"/>
  <c r="K46" i="3"/>
  <c r="P26" i="3"/>
  <c r="L46" i="3" s="1"/>
  <c r="Q26" i="3"/>
  <c r="M46" i="3" s="1"/>
  <c r="D72" i="15" s="1"/>
  <c r="D88" i="15" s="1"/>
  <c r="D101" i="15" s="1"/>
  <c r="K36" i="5"/>
  <c r="Q16" i="5"/>
  <c r="K40" i="5"/>
  <c r="Q20" i="5"/>
  <c r="K42" i="5"/>
  <c r="Q22" i="5"/>
  <c r="F28" i="15" s="1"/>
  <c r="K38" i="5"/>
  <c r="Q18" i="5"/>
  <c r="K37" i="5"/>
  <c r="Q17" i="5"/>
  <c r="P16" i="5"/>
  <c r="F22" i="13" s="1"/>
  <c r="F62" i="13" s="1"/>
  <c r="P20" i="5"/>
  <c r="L40" i="5" s="1"/>
  <c r="P17" i="5"/>
  <c r="L37" i="5" s="1"/>
  <c r="K39" i="5"/>
  <c r="Q19" i="5"/>
  <c r="K41" i="5"/>
  <c r="Q21" i="5"/>
  <c r="K44" i="5"/>
  <c r="P24" i="5"/>
  <c r="L44" i="5" s="1"/>
  <c r="Q24" i="5"/>
  <c r="K43" i="5"/>
  <c r="Q23" i="5"/>
  <c r="P23" i="5"/>
  <c r="L43" i="5" s="1"/>
  <c r="M44" i="4"/>
  <c r="E69" i="15"/>
  <c r="E85" i="15" s="1"/>
  <c r="E98" i="15" s="1"/>
  <c r="C27" i="15"/>
  <c r="M41" i="2"/>
  <c r="M40" i="2"/>
  <c r="C26" i="15"/>
  <c r="C71" i="15" s="1"/>
  <c r="M36" i="2"/>
  <c r="C22" i="15"/>
  <c r="C11" i="15" s="1"/>
  <c r="M39" i="2"/>
  <c r="C25" i="15"/>
  <c r="C14" i="15" s="1"/>
  <c r="M42" i="2"/>
  <c r="C23" i="15"/>
  <c r="C12" i="15" s="1"/>
  <c r="M37" i="2"/>
  <c r="M38" i="2"/>
  <c r="C24" i="15"/>
  <c r="C13" i="15" s="1"/>
  <c r="M43" i="2"/>
  <c r="C86" i="15"/>
  <c r="M37" i="3"/>
  <c r="D23" i="15"/>
  <c r="D12" i="15" s="1"/>
  <c r="M42" i="3"/>
  <c r="E25" i="15"/>
  <c r="M39" i="4"/>
  <c r="M41" i="3"/>
  <c r="D27" i="15"/>
  <c r="E24" i="15"/>
  <c r="M38" i="4"/>
  <c r="E27" i="15"/>
  <c r="M41" i="4"/>
  <c r="M36" i="4"/>
  <c r="E22" i="15"/>
  <c r="E11" i="15" s="1"/>
  <c r="K43" i="4"/>
  <c r="P23" i="4"/>
  <c r="L43" i="4" s="1"/>
  <c r="Q23" i="4"/>
  <c r="Q23" i="3"/>
  <c r="P23" i="3"/>
  <c r="L43" i="3" s="1"/>
  <c r="K43" i="3"/>
  <c r="M36" i="3"/>
  <c r="D22" i="15"/>
  <c r="D11" i="15" s="1"/>
  <c r="E23" i="15"/>
  <c r="M37" i="4"/>
  <c r="M40" i="4"/>
  <c r="E26" i="15"/>
  <c r="E71" i="15" s="1"/>
  <c r="K39" i="3"/>
  <c r="Q19" i="3"/>
  <c r="M40" i="3"/>
  <c r="D26" i="15"/>
  <c r="D71" i="15" s="1"/>
  <c r="M42" i="4"/>
  <c r="K38" i="3"/>
  <c r="Q18" i="3"/>
  <c r="P16" i="8"/>
  <c r="I22" i="13" s="1"/>
  <c r="G62" i="13"/>
  <c r="P22" i="5"/>
  <c r="F28" i="13" s="1"/>
  <c r="P19" i="5"/>
  <c r="L39" i="5" s="1"/>
  <c r="P18" i="8"/>
  <c r="I24" i="13" s="1"/>
  <c r="I13" i="13" s="1"/>
  <c r="P18" i="3"/>
  <c r="D24" i="13" s="1"/>
  <c r="D13" i="13" s="1"/>
  <c r="P20" i="8"/>
  <c r="L40" i="8" s="1"/>
  <c r="P22" i="7"/>
  <c r="L42" i="7" s="1"/>
  <c r="P21" i="8"/>
  <c r="L41" i="8" s="1"/>
  <c r="L36" i="6"/>
  <c r="K36" i="4"/>
  <c r="P16" i="4"/>
  <c r="K38" i="6"/>
  <c r="P18" i="6"/>
  <c r="K37" i="4"/>
  <c r="P17" i="4"/>
  <c r="K40" i="4"/>
  <c r="P20" i="4"/>
  <c r="P17" i="2"/>
  <c r="K37" i="2"/>
  <c r="K42" i="4"/>
  <c r="P22" i="4"/>
  <c r="K42" i="6"/>
  <c r="P22" i="6"/>
  <c r="H27" i="13"/>
  <c r="L41" i="7"/>
  <c r="P17" i="8"/>
  <c r="P19" i="3"/>
  <c r="H24" i="13"/>
  <c r="H13" i="13" s="1"/>
  <c r="L38" i="7"/>
  <c r="I28" i="13"/>
  <c r="L38" i="5"/>
  <c r="F24" i="13"/>
  <c r="F13" i="13" s="1"/>
  <c r="H23" i="13"/>
  <c r="H12" i="13" s="1"/>
  <c r="L37" i="7"/>
  <c r="K41" i="9"/>
  <c r="P21" i="9"/>
  <c r="K39" i="6"/>
  <c r="P19" i="6"/>
  <c r="P20" i="6"/>
  <c r="K40" i="6"/>
  <c r="P21" i="2"/>
  <c r="K41" i="2"/>
  <c r="K40" i="9"/>
  <c r="P20" i="9"/>
  <c r="K37" i="6"/>
  <c r="P17" i="6"/>
  <c r="P20" i="3"/>
  <c r="K40" i="3"/>
  <c r="P20" i="2"/>
  <c r="K40" i="2"/>
  <c r="P19" i="8"/>
  <c r="H26" i="13"/>
  <c r="L40" i="7"/>
  <c r="P21" i="5"/>
  <c r="K41" i="4"/>
  <c r="P21" i="4"/>
  <c r="K37" i="3"/>
  <c r="P17" i="3"/>
  <c r="K42" i="3"/>
  <c r="P22" i="3"/>
  <c r="P18" i="2"/>
  <c r="K38" i="2"/>
  <c r="K39" i="4"/>
  <c r="P19" i="4"/>
  <c r="K38" i="9"/>
  <c r="P18" i="9"/>
  <c r="K42" i="9"/>
  <c r="P22" i="9"/>
  <c r="P19" i="7"/>
  <c r="K39" i="7"/>
  <c r="P21" i="3"/>
  <c r="K41" i="3"/>
  <c r="P19" i="9"/>
  <c r="K39" i="9"/>
  <c r="K38" i="4"/>
  <c r="P18" i="4"/>
  <c r="P17" i="9"/>
  <c r="K37" i="9"/>
  <c r="P19" i="2"/>
  <c r="K39" i="2"/>
  <c r="K41" i="6"/>
  <c r="P21" i="6"/>
  <c r="P22" i="2"/>
  <c r="K42" i="2"/>
  <c r="P16" i="7"/>
  <c r="H22" i="13" s="1"/>
  <c r="K36" i="9"/>
  <c r="P16" i="9"/>
  <c r="J22" i="13" s="1"/>
  <c r="P16" i="3"/>
  <c r="D22" i="13" s="1"/>
  <c r="K36" i="3"/>
  <c r="P16" i="2"/>
  <c r="C22" i="13" s="1"/>
  <c r="K36" i="2"/>
  <c r="M43" i="8" l="1"/>
  <c r="P23" i="6"/>
  <c r="L43" i="6" s="1"/>
  <c r="Q23" i="6"/>
  <c r="K43" i="6"/>
  <c r="M48" i="9"/>
  <c r="J72" i="15"/>
  <c r="J88" i="15" s="1"/>
  <c r="J101" i="15" s="1"/>
  <c r="M46" i="9"/>
  <c r="J69" i="15"/>
  <c r="J85" i="15" s="1"/>
  <c r="J98" i="15" s="1"/>
  <c r="K44" i="3"/>
  <c r="P24" i="3"/>
  <c r="L44" i="3" s="1"/>
  <c r="Q24" i="3"/>
  <c r="M45" i="9"/>
  <c r="J68" i="15"/>
  <c r="J84" i="15" s="1"/>
  <c r="J97" i="15" s="1"/>
  <c r="I72" i="15"/>
  <c r="I88" i="15" s="1"/>
  <c r="I101" i="15" s="1"/>
  <c r="M49" i="8"/>
  <c r="Q28" i="8"/>
  <c r="P28" i="8"/>
  <c r="L48" i="8" s="1"/>
  <c r="K48" i="8"/>
  <c r="Q25" i="8"/>
  <c r="P25" i="8"/>
  <c r="L45" i="8" s="1"/>
  <c r="K45" i="8"/>
  <c r="M46" i="7"/>
  <c r="H70" i="15"/>
  <c r="H86" i="15" s="1"/>
  <c r="H99" i="15" s="1"/>
  <c r="I69" i="15"/>
  <c r="I85" i="15" s="1"/>
  <c r="I98" i="15" s="1"/>
  <c r="M47" i="8"/>
  <c r="M44" i="9"/>
  <c r="J67" i="15"/>
  <c r="J83" i="15" s="1"/>
  <c r="J96" i="15" s="1"/>
  <c r="P25" i="5"/>
  <c r="L45" i="5" s="1"/>
  <c r="K45" i="5"/>
  <c r="Q25" i="5"/>
  <c r="M44" i="7"/>
  <c r="H68" i="15"/>
  <c r="H84" i="15" s="1"/>
  <c r="H97" i="15" s="1"/>
  <c r="I68" i="15"/>
  <c r="I84" i="15" s="1"/>
  <c r="I97" i="15" s="1"/>
  <c r="M46" i="8"/>
  <c r="M47" i="9"/>
  <c r="J70" i="15"/>
  <c r="J86" i="15" s="1"/>
  <c r="J99" i="15" s="1"/>
  <c r="J15" i="15"/>
  <c r="J71" i="15"/>
  <c r="J87" i="15" s="1"/>
  <c r="J100" i="15" s="1"/>
  <c r="M45" i="7"/>
  <c r="H69" i="15"/>
  <c r="H85" i="15" s="1"/>
  <c r="H98" i="15" s="1"/>
  <c r="M47" i="7"/>
  <c r="H72" i="15"/>
  <c r="H88" i="15" s="1"/>
  <c r="H101" i="15" s="1"/>
  <c r="Q24" i="8"/>
  <c r="P24" i="8"/>
  <c r="L44" i="8" s="1"/>
  <c r="K44" i="8"/>
  <c r="H28" i="13"/>
  <c r="H68" i="13" s="1"/>
  <c r="G57" i="15"/>
  <c r="G58" i="15" s="1"/>
  <c r="G74" i="15"/>
  <c r="G90" i="15" s="1"/>
  <c r="G103" i="15" s="1"/>
  <c r="G17" i="15"/>
  <c r="G16" i="15"/>
  <c r="G73" i="15"/>
  <c r="G89" i="15" s="1"/>
  <c r="G102" i="15" s="1"/>
  <c r="F23" i="13"/>
  <c r="F12" i="13" s="1"/>
  <c r="J73" i="15"/>
  <c r="J89" i="15" s="1"/>
  <c r="J102" i="15" s="1"/>
  <c r="J16" i="15"/>
  <c r="J14" i="15"/>
  <c r="J13" i="15"/>
  <c r="J11" i="15"/>
  <c r="J57" i="15"/>
  <c r="J58" i="15" s="1"/>
  <c r="J77" i="15"/>
  <c r="J11" i="13"/>
  <c r="J78" i="15"/>
  <c r="J12" i="15"/>
  <c r="J74" i="15"/>
  <c r="J90" i="15" s="1"/>
  <c r="J103" i="15" s="1"/>
  <c r="J17" i="15"/>
  <c r="I27" i="13"/>
  <c r="I67" i="13" s="1"/>
  <c r="L36" i="8"/>
  <c r="I11" i="13"/>
  <c r="M41" i="8"/>
  <c r="I27" i="15"/>
  <c r="I62" i="13"/>
  <c r="I25" i="15"/>
  <c r="M39" i="8"/>
  <c r="M38" i="8"/>
  <c r="I24" i="15"/>
  <c r="I22" i="15"/>
  <c r="M36" i="8"/>
  <c r="M37" i="8"/>
  <c r="I23" i="15"/>
  <c r="I26" i="15"/>
  <c r="M40" i="8"/>
  <c r="M42" i="8"/>
  <c r="I28" i="15"/>
  <c r="H11" i="13"/>
  <c r="M41" i="7"/>
  <c r="H27" i="15"/>
  <c r="M40" i="7"/>
  <c r="H26" i="15"/>
  <c r="H14" i="15"/>
  <c r="M36" i="7"/>
  <c r="H22" i="15"/>
  <c r="H23" i="15"/>
  <c r="M37" i="7"/>
  <c r="M38" i="7"/>
  <c r="H24" i="15"/>
  <c r="M42" i="7"/>
  <c r="H28" i="15"/>
  <c r="M45" i="3"/>
  <c r="D70" i="15"/>
  <c r="D86" i="15" s="1"/>
  <c r="D99" i="15" s="1"/>
  <c r="M44" i="2"/>
  <c r="C72" i="15"/>
  <c r="C88" i="15" s="1"/>
  <c r="C101" i="15" s="1"/>
  <c r="M46" i="4"/>
  <c r="E72" i="15"/>
  <c r="E88" i="15" s="1"/>
  <c r="E101" i="15" s="1"/>
  <c r="M45" i="4"/>
  <c r="E70" i="15"/>
  <c r="E86" i="15" s="1"/>
  <c r="E99" i="15" s="1"/>
  <c r="M43" i="3"/>
  <c r="D68" i="15"/>
  <c r="D84" i="15" s="1"/>
  <c r="D97" i="15" s="1"/>
  <c r="L36" i="5"/>
  <c r="F26" i="13"/>
  <c r="F66" i="13" s="1"/>
  <c r="L42" i="5"/>
  <c r="M38" i="5"/>
  <c r="F24" i="15"/>
  <c r="M39" i="5"/>
  <c r="F25" i="15"/>
  <c r="F69" i="15"/>
  <c r="F85" i="15" s="1"/>
  <c r="F98" i="15" s="1"/>
  <c r="M43" i="5"/>
  <c r="M37" i="5"/>
  <c r="F23" i="15"/>
  <c r="M42" i="5"/>
  <c r="F22" i="15"/>
  <c r="F11" i="15" s="1"/>
  <c r="M36" i="5"/>
  <c r="M44" i="5"/>
  <c r="F70" i="15"/>
  <c r="F86" i="15" s="1"/>
  <c r="F99" i="15" s="1"/>
  <c r="M40" i="5"/>
  <c r="F26" i="15"/>
  <c r="F71" i="15" s="1"/>
  <c r="F11" i="13"/>
  <c r="M41" i="5"/>
  <c r="F27" i="15"/>
  <c r="C87" i="15"/>
  <c r="C100" i="15" s="1"/>
  <c r="C15" i="15"/>
  <c r="C74" i="15"/>
  <c r="C90" i="15" s="1"/>
  <c r="C103" i="15" s="1"/>
  <c r="C17" i="15"/>
  <c r="C57" i="15"/>
  <c r="C11" i="13"/>
  <c r="C73" i="15"/>
  <c r="C89" i="15" s="1"/>
  <c r="C102" i="15" s="1"/>
  <c r="C16" i="15"/>
  <c r="M38" i="3"/>
  <c r="D24" i="15"/>
  <c r="D13" i="15" s="1"/>
  <c r="D87" i="15"/>
  <c r="D100" i="15" s="1"/>
  <c r="D15" i="15"/>
  <c r="E15" i="15"/>
  <c r="E87" i="15"/>
  <c r="E100" i="15" s="1"/>
  <c r="D11" i="13"/>
  <c r="E68" i="15"/>
  <c r="E84" i="15" s="1"/>
  <c r="E97" i="15" s="1"/>
  <c r="M43" i="4"/>
  <c r="D73" i="15"/>
  <c r="D89" i="15" s="1"/>
  <c r="D102" i="15" s="1"/>
  <c r="D16" i="15"/>
  <c r="M39" i="3"/>
  <c r="D25" i="15"/>
  <c r="D14" i="15" s="1"/>
  <c r="E77" i="15"/>
  <c r="E57" i="15"/>
  <c r="E58" i="15" s="1"/>
  <c r="D17" i="15"/>
  <c r="D74" i="15"/>
  <c r="D90" i="15" s="1"/>
  <c r="D103" i="15" s="1"/>
  <c r="E17" i="15"/>
  <c r="E74" i="15"/>
  <c r="E90" i="15" s="1"/>
  <c r="E103" i="15" s="1"/>
  <c r="E12" i="15"/>
  <c r="E78" i="15"/>
  <c r="E16" i="15"/>
  <c r="E73" i="15"/>
  <c r="E89" i="15" s="1"/>
  <c r="E102" i="15" s="1"/>
  <c r="E13" i="15"/>
  <c r="E14" i="15"/>
  <c r="I26" i="13"/>
  <c r="I66" i="13" s="1"/>
  <c r="L38" i="8"/>
  <c r="L36" i="7"/>
  <c r="F25" i="13"/>
  <c r="F14" i="13" s="1"/>
  <c r="F64" i="13"/>
  <c r="L38" i="3"/>
  <c r="E22" i="13"/>
  <c r="L36" i="4"/>
  <c r="L39" i="9"/>
  <c r="J25" i="13"/>
  <c r="J14" i="13" s="1"/>
  <c r="F68" i="13"/>
  <c r="F17" i="13"/>
  <c r="C23" i="13"/>
  <c r="C12" i="13" s="1"/>
  <c r="L37" i="2"/>
  <c r="J23" i="13"/>
  <c r="J12" i="13" s="1"/>
  <c r="L37" i="9"/>
  <c r="H25" i="13"/>
  <c r="H14" i="13" s="1"/>
  <c r="L39" i="7"/>
  <c r="C24" i="13"/>
  <c r="C13" i="13" s="1"/>
  <c r="L38" i="2"/>
  <c r="G23" i="13"/>
  <c r="L37" i="6"/>
  <c r="G25" i="13"/>
  <c r="G14" i="13" s="1"/>
  <c r="L39" i="6"/>
  <c r="I68" i="13"/>
  <c r="I17" i="13"/>
  <c r="D25" i="13"/>
  <c r="D14" i="13" s="1"/>
  <c r="L39" i="3"/>
  <c r="G28" i="13"/>
  <c r="L42" i="6"/>
  <c r="E23" i="13"/>
  <c r="E12" i="13" s="1"/>
  <c r="L37" i="4"/>
  <c r="L38" i="4"/>
  <c r="E24" i="13"/>
  <c r="E13" i="13" s="1"/>
  <c r="J28" i="13"/>
  <c r="L42" i="9"/>
  <c r="E25" i="13"/>
  <c r="E14" i="13" s="1"/>
  <c r="L39" i="4"/>
  <c r="D28" i="13"/>
  <c r="L42" i="3"/>
  <c r="E27" i="13"/>
  <c r="L41" i="4"/>
  <c r="H66" i="13"/>
  <c r="H15" i="13"/>
  <c r="C26" i="13"/>
  <c r="L40" i="2"/>
  <c r="C27" i="13"/>
  <c r="L41" i="2"/>
  <c r="I64" i="13"/>
  <c r="I23" i="13"/>
  <c r="I12" i="13" s="1"/>
  <c r="L37" i="8"/>
  <c r="I16" i="13"/>
  <c r="C28" i="13"/>
  <c r="L42" i="2"/>
  <c r="C25" i="13"/>
  <c r="C14" i="13" s="1"/>
  <c r="L39" i="2"/>
  <c r="D27" i="13"/>
  <c r="L41" i="3"/>
  <c r="J26" i="13"/>
  <c r="L40" i="9"/>
  <c r="J27" i="13"/>
  <c r="L41" i="9"/>
  <c r="H63" i="13"/>
  <c r="E28" i="13"/>
  <c r="L42" i="4"/>
  <c r="E26" i="13"/>
  <c r="L40" i="4"/>
  <c r="G24" i="13"/>
  <c r="G13" i="13" s="1"/>
  <c r="L38" i="6"/>
  <c r="G27" i="13"/>
  <c r="L41" i="6"/>
  <c r="J24" i="13"/>
  <c r="J13" i="13" s="1"/>
  <c r="L38" i="9"/>
  <c r="D23" i="13"/>
  <c r="D12" i="13" s="1"/>
  <c r="L37" i="3"/>
  <c r="F27" i="13"/>
  <c r="L41" i="5"/>
  <c r="I25" i="13"/>
  <c r="I14" i="13" s="1"/>
  <c r="L39" i="8"/>
  <c r="D26" i="13"/>
  <c r="L40" i="3"/>
  <c r="G26" i="13"/>
  <c r="L40" i="6"/>
  <c r="H64" i="13"/>
  <c r="H67" i="13"/>
  <c r="H16" i="13"/>
  <c r="D64" i="13"/>
  <c r="H62" i="13"/>
  <c r="D62" i="13"/>
  <c r="L36" i="3"/>
  <c r="J62" i="13"/>
  <c r="L36" i="9"/>
  <c r="C62" i="13"/>
  <c r="L36" i="2"/>
  <c r="I15" i="15" l="1"/>
  <c r="I71" i="15"/>
  <c r="I87" i="15" s="1"/>
  <c r="I100" i="15" s="1"/>
  <c r="I70" i="15"/>
  <c r="I86" i="15" s="1"/>
  <c r="I99" i="15" s="1"/>
  <c r="M48" i="8"/>
  <c r="I66" i="15"/>
  <c r="I82" i="15" s="1"/>
  <c r="I95" i="15" s="1"/>
  <c r="M44" i="8"/>
  <c r="I67" i="15"/>
  <c r="I83" i="15" s="1"/>
  <c r="I96" i="15" s="1"/>
  <c r="M45" i="8"/>
  <c r="M44" i="3"/>
  <c r="D69" i="15"/>
  <c r="D85" i="15" s="1"/>
  <c r="D98" i="15" s="1"/>
  <c r="G72" i="15"/>
  <c r="G88" i="15" s="1"/>
  <c r="G101" i="15" s="1"/>
  <c r="M43" i="6"/>
  <c r="M45" i="5"/>
  <c r="F72" i="15"/>
  <c r="F88" i="15" s="1"/>
  <c r="F101" i="15" s="1"/>
  <c r="H15" i="15"/>
  <c r="H71" i="15"/>
  <c r="H87" i="15" s="1"/>
  <c r="H100" i="15" s="1"/>
  <c r="H17" i="13"/>
  <c r="G12" i="13"/>
  <c r="G57" i="13"/>
  <c r="G58" i="13" s="1"/>
  <c r="F15" i="13"/>
  <c r="F63" i="13"/>
  <c r="J57" i="13"/>
  <c r="J58" i="13" s="1"/>
  <c r="I15" i="13"/>
  <c r="I11" i="15"/>
  <c r="I77" i="15"/>
  <c r="I57" i="15"/>
  <c r="I58" i="15" s="1"/>
  <c r="I14" i="15"/>
  <c r="I65" i="15"/>
  <c r="I81" i="15" s="1"/>
  <c r="I94" i="15" s="1"/>
  <c r="I57" i="13"/>
  <c r="I58" i="13" s="1"/>
  <c r="I16" i="15"/>
  <c r="I73" i="15"/>
  <c r="I89" i="15" s="1"/>
  <c r="I102" i="15" s="1"/>
  <c r="I17" i="15"/>
  <c r="I74" i="15"/>
  <c r="I90" i="15" s="1"/>
  <c r="I103" i="15" s="1"/>
  <c r="I78" i="15"/>
  <c r="I12" i="15"/>
  <c r="I13" i="15"/>
  <c r="H13" i="15"/>
  <c r="H17" i="15"/>
  <c r="H74" i="15"/>
  <c r="H90" i="15" s="1"/>
  <c r="H103" i="15" s="1"/>
  <c r="H73" i="15"/>
  <c r="H89" i="15" s="1"/>
  <c r="H102" i="15" s="1"/>
  <c r="H16" i="15"/>
  <c r="H78" i="15"/>
  <c r="H12" i="15"/>
  <c r="H57" i="13"/>
  <c r="H58" i="13" s="1"/>
  <c r="H11" i="15"/>
  <c r="H77" i="15"/>
  <c r="H57" i="15"/>
  <c r="H58" i="15" s="1"/>
  <c r="F73" i="15"/>
  <c r="F89" i="15" s="1"/>
  <c r="F102" i="15" s="1"/>
  <c r="F16" i="15"/>
  <c r="F87" i="15"/>
  <c r="F100" i="15" s="1"/>
  <c r="F15" i="15"/>
  <c r="F78" i="15"/>
  <c r="F12" i="15"/>
  <c r="F14" i="15"/>
  <c r="F77" i="15"/>
  <c r="F57" i="15"/>
  <c r="F58" i="15" s="1"/>
  <c r="F57" i="13"/>
  <c r="F58" i="13" s="1"/>
  <c r="F74" i="15"/>
  <c r="F90" i="15" s="1"/>
  <c r="F103" i="15" s="1"/>
  <c r="F17" i="15"/>
  <c r="F13" i="15"/>
  <c r="C57" i="13"/>
  <c r="C59" i="13" s="1"/>
  <c r="C59" i="15"/>
  <c r="C58" i="15"/>
  <c r="D57" i="15"/>
  <c r="D58" i="15" s="1"/>
  <c r="D57" i="13"/>
  <c r="D58" i="13" s="1"/>
  <c r="E57" i="13"/>
  <c r="E58" i="13" s="1"/>
  <c r="I63" i="13"/>
  <c r="G65" i="13"/>
  <c r="F65" i="13"/>
  <c r="J64" i="13"/>
  <c r="I65" i="13"/>
  <c r="D63" i="13"/>
  <c r="G64" i="13"/>
  <c r="J63" i="13"/>
  <c r="H65" i="13"/>
  <c r="C65" i="13"/>
  <c r="E11" i="13"/>
  <c r="E62" i="13"/>
  <c r="E68" i="13"/>
  <c r="E17" i="13"/>
  <c r="C66" i="13"/>
  <c r="C15" i="13"/>
  <c r="F67" i="13"/>
  <c r="F16" i="13"/>
  <c r="G67" i="13"/>
  <c r="G16" i="13"/>
  <c r="J66" i="13"/>
  <c r="J15" i="13"/>
  <c r="D67" i="13"/>
  <c r="D16" i="13"/>
  <c r="E65" i="13"/>
  <c r="E63" i="13"/>
  <c r="C64" i="13"/>
  <c r="G66" i="13"/>
  <c r="G15" i="13"/>
  <c r="E66" i="13"/>
  <c r="E15" i="13"/>
  <c r="C68" i="13"/>
  <c r="C17" i="13"/>
  <c r="C67" i="13"/>
  <c r="C16" i="13"/>
  <c r="D68" i="13"/>
  <c r="D17" i="13"/>
  <c r="E64" i="13"/>
  <c r="D65" i="13"/>
  <c r="G63" i="13"/>
  <c r="C63" i="13"/>
  <c r="D66" i="13"/>
  <c r="D15" i="13"/>
  <c r="E67" i="13"/>
  <c r="E16" i="13"/>
  <c r="J67" i="13"/>
  <c r="J16" i="13"/>
  <c r="J68" i="13"/>
  <c r="J17" i="13"/>
  <c r="G68" i="13"/>
  <c r="G17" i="13"/>
  <c r="J65" i="13"/>
  <c r="C58" i="13" l="1"/>
</calcChain>
</file>

<file path=xl/sharedStrings.xml><?xml version="1.0" encoding="utf-8"?>
<sst xmlns="http://schemas.openxmlformats.org/spreadsheetml/2006/main" count="737" uniqueCount="140">
  <si>
    <t>m4.10xlarge</t>
  </si>
  <si>
    <t>m3.large</t>
  </si>
  <si>
    <t>m3.2xlarge</t>
  </si>
  <si>
    <t>c3.8xlarge</t>
  </si>
  <si>
    <t>g2.2xlarge</t>
  </si>
  <si>
    <t>r3.4xlarge</t>
  </si>
  <si>
    <t>i2.8xlarge</t>
  </si>
  <si>
    <t>d2.8xlarge</t>
  </si>
  <si>
    <t>Storage (GB)</t>
  </si>
  <si>
    <t>Physical Processor</t>
  </si>
  <si>
    <t>Clock Speed (GHz)</t>
  </si>
  <si>
    <t>Price</t>
  </si>
  <si>
    <t>Intel Xeon E5- 2676 v3</t>
  </si>
  <si>
    <t>Intel Xeon E5- 2670 v2</t>
  </si>
  <si>
    <t>Intel Xeon E5-2670 v2</t>
  </si>
  <si>
    <t>Intel Xeon E5-2680 v2</t>
  </si>
  <si>
    <t>Intel Xeon E5-2670</t>
  </si>
  <si>
    <t>Intel Xeon E5-2676 v3</t>
  </si>
  <si>
    <t>Instance Type</t>
  </si>
  <si>
    <t>vCPU</t>
  </si>
  <si>
    <t>Memory (GiB)</t>
  </si>
  <si>
    <t>No. of Cores / Processor</t>
  </si>
  <si>
    <t>Instructions per Cycle</t>
  </si>
  <si>
    <t>No. of hardware threads / core</t>
  </si>
  <si>
    <t>Max Memory supported</t>
  </si>
  <si>
    <t>768 GB</t>
  </si>
  <si>
    <t>Processor</t>
  </si>
  <si>
    <t>Description</t>
  </si>
  <si>
    <t>No. of instances can be managed in single node:</t>
  </si>
  <si>
    <t>Memory</t>
  </si>
  <si>
    <t>Quantity</t>
  </si>
  <si>
    <t>Cost per Unit</t>
  </si>
  <si>
    <t>Final Cost</t>
  </si>
  <si>
    <t>Details</t>
  </si>
  <si>
    <t>HDD</t>
  </si>
  <si>
    <t>Network Adapter</t>
  </si>
  <si>
    <t>Network Switch</t>
  </si>
  <si>
    <t>Motherboard</t>
  </si>
  <si>
    <t>Rack</t>
  </si>
  <si>
    <t>System Admin</t>
  </si>
  <si>
    <t>Case</t>
  </si>
  <si>
    <t>Cooling Power Consumption</t>
  </si>
  <si>
    <t>No. of instances / Node</t>
  </si>
  <si>
    <t>Intel Xeon E5-2670 v2 Ivy Bridge-EP 2.5 GHz 25MB L3 Cache LGA 2011 115W BX80635E52670V2 Server Processor</t>
  </si>
  <si>
    <t>Theorotical Giga Flops value / instance</t>
  </si>
  <si>
    <t>Intel Xeon E5-2680 v3 Haswell 2.5 GHz LGA 2011-3 120W BX80644E52680V3 Server Processor</t>
  </si>
  <si>
    <t>Intel Xeon E5-2680 v2 Ivy Bridge-EP 2.8 GHz 25MB L3 Cache LGA 2011 115W BX80635E52680V2 Server Processor</t>
  </si>
  <si>
    <t>Intel Xeon E5-2690 v3 Haswell 2.6 GHz 12 x 256KB L2 Cache 30 MB L3 Cache LGA 2011-3 135W BX80644E52690V3 Server Processor</t>
  </si>
  <si>
    <t>Public AWS Cloud</t>
  </si>
  <si>
    <t>Private Cloud</t>
  </si>
  <si>
    <t>Intel Xeon E5-2640 V4 2.4 GHz 25MB L3 Cache LGA 2011 90W BX80660E52640V4 Server Processor</t>
  </si>
  <si>
    <t>Total no. of Hardware Threads</t>
  </si>
  <si>
    <t>Instance Gflops</t>
  </si>
  <si>
    <t>Processor Gflops</t>
  </si>
  <si>
    <t>No. of Processors</t>
  </si>
  <si>
    <t>Flops / Machine</t>
  </si>
  <si>
    <t>Networking Performance
(Gbps)</t>
  </si>
  <si>
    <t>Networking Performance (Gbps)</t>
  </si>
  <si>
    <t>GIGABYTE MD80-TM0 E-ATX / SSI EEB Server Motherboard Dual LGA 2011-3 Intel C612</t>
  </si>
  <si>
    <t>Kingston 16GB 288-Pin DDR4 SDRAM ECC Registered DDR4 2133 (PC4 17000) Server Memory Model KVR21R15D4/16</t>
  </si>
  <si>
    <t>Processor Quantity</t>
  </si>
  <si>
    <t>Memory Quantity</t>
  </si>
  <si>
    <t>HDD Quantity</t>
  </si>
  <si>
    <t>Kingston 64GB (4 x 16GB) 288-Pin DDR4 SDRAM ECC Registered DDR4 2133 (PC4 17000) Server Memory Model KVR21R15D4K4/64</t>
  </si>
  <si>
    <t>Black Diamond Memory 32GB 288-Pin DDR4 SDRAM ECC Registered DDR4 2133 (PC4 17000) Server Memory Model BD32G2133MQR26</t>
  </si>
  <si>
    <t>Storage Type</t>
  </si>
  <si>
    <t>EBS</t>
  </si>
  <si>
    <t>SSD</t>
  </si>
  <si>
    <t>System Administrator</t>
  </si>
  <si>
    <t>Black Diamond Memory Sonic Series BDSSDS1T 2.5" 1TB SATA III TLC Internal Solid State Drive</t>
  </si>
  <si>
    <t>Black Diamond Memory Sonic Series BDSSDS512G 2.5" 512GB SATA III Internal Solid State Drive</t>
  </si>
  <si>
    <t>Black Diamond Memory Sonic Series BDSSDS256G 2.5" 256GB SATA III Internal Solid State Drive</t>
  </si>
  <si>
    <t>SAMSUNG 850 EVO 2.5" 2 TB SATA III 3-D Vertical Internal Solid State Drive (SSD) MZ-75E2T0B/AM</t>
  </si>
  <si>
    <t>Seagate Archive HDD v2 ST8000AS0002 8TB 128MB Cache SATA 6.0Gb/s 3.5" Internal Hard Drive Bare Drive</t>
  </si>
  <si>
    <t>Tripp Lite SU5000XFMRT2U Step Down Transformer 5000 VA 5kVA 2U Rackmount 13 Outlets</t>
  </si>
  <si>
    <t>UPS Make</t>
  </si>
  <si>
    <t>UPS Quantity</t>
  </si>
  <si>
    <t>Network Adapter Quantity</t>
  </si>
  <si>
    <t>APC AR3300 42U NetShelter SX 600mm Wide x 1200mm Deep Enclosure</t>
  </si>
  <si>
    <t>Rack Quantity</t>
  </si>
  <si>
    <t>Kingston SSD Now mS200 mSATA 30GB SATA III Internal Solid State Drive (SSD) SMS200S3/30G</t>
  </si>
  <si>
    <t>Power Requirement</t>
  </si>
  <si>
    <t>Nvidia GRID K520 8GB PCIe x16 Cloud Gaming GPU Graphics Card 900-12055-0020-000</t>
  </si>
  <si>
    <t>GPU</t>
  </si>
  <si>
    <t>GPU Quantity</t>
  </si>
  <si>
    <t>Lenovo ThinkServer I350-T4 AnyFabric 1 Gb 4-port Base-T Ethernet Adapter by Intel</t>
  </si>
  <si>
    <t>Network Switch Quantity</t>
  </si>
  <si>
    <t>NETGEAR ProSAFE XS728T 28-Port 10-Gigabit Ethernet Smart Managed Switch (XS728T) - Lifetime Warranty</t>
  </si>
  <si>
    <t>To be discussed with Suraj</t>
  </si>
  <si>
    <t>Power Consumption</t>
  </si>
  <si>
    <t>Power Consumption (W)</t>
  </si>
  <si>
    <t>Cooling Power</t>
  </si>
  <si>
    <t>1 Gflops</t>
  </si>
  <si>
    <t>100 Gflops</t>
  </si>
  <si>
    <t>10 Tflops</t>
  </si>
  <si>
    <t>100 Tflops</t>
  </si>
  <si>
    <t>NORCO RPC-170 Black 1U Rackmount Server Chassis</t>
  </si>
  <si>
    <t>Gflops</t>
  </si>
  <si>
    <t>No. of machines required</t>
  </si>
  <si>
    <t>Hardware cost for 5 years</t>
  </si>
  <si>
    <t>Network cost for 5 years</t>
  </si>
  <si>
    <t>Administration cost for 5 years</t>
  </si>
  <si>
    <t>Network Switches Quantity</t>
  </si>
  <si>
    <t>Network Power cost for 5 years</t>
  </si>
  <si>
    <t>System &amp; Cooling Power cost for 5 years</t>
  </si>
  <si>
    <t>Power Cost</t>
  </si>
  <si>
    <t>Rack cost for 5 years</t>
  </si>
  <si>
    <t>Rack Power cost for 5 years</t>
  </si>
  <si>
    <t>Total Cost</t>
  </si>
  <si>
    <t>Cost / hour</t>
  </si>
  <si>
    <t>Cost / hour / Gflop</t>
  </si>
  <si>
    <t>pr.m4.10xlarge</t>
  </si>
  <si>
    <t>pr.m3.large</t>
  </si>
  <si>
    <t>pr.m3.2xlarge</t>
  </si>
  <si>
    <t>pr.c3.8xlarge</t>
  </si>
  <si>
    <t>pr.g2.2xlarge</t>
  </si>
  <si>
    <t>pr.r3.4xlarge</t>
  </si>
  <si>
    <t>pr.i2.8xlarge</t>
  </si>
  <si>
    <t>pr.d2.8xlarge</t>
  </si>
  <si>
    <t>10 GFlops</t>
  </si>
  <si>
    <t>1 Tflops</t>
  </si>
  <si>
    <t>1 Pflops</t>
  </si>
  <si>
    <t>No. of System Admin(s)</t>
  </si>
  <si>
    <t>Hardware cost</t>
  </si>
  <si>
    <t>Network Switches cost
(Network Switch + Network Switch Power Consumption cost)</t>
  </si>
  <si>
    <t>System Admin cost</t>
  </si>
  <si>
    <t>Rack cost
(Rack + Rack Power Consumption cost)</t>
  </si>
  <si>
    <t>No. of instances required</t>
  </si>
  <si>
    <t>No. of physical nodes required</t>
  </si>
  <si>
    <t>3.84 Tflops</t>
  </si>
  <si>
    <t>1.9 Tflops</t>
  </si>
  <si>
    <t>2.865 Tflops</t>
  </si>
  <si>
    <t>55.675 Tflops</t>
  </si>
  <si>
    <t>0.01$22179370032578</t>
  </si>
  <si>
    <t>0.009177203025063$22</t>
  </si>
  <si>
    <t>0.000350$225134468303</t>
  </si>
  <si>
    <t>0.000619649925$220832</t>
  </si>
  <si>
    <t>1.375 Tflops</t>
  </si>
  <si>
    <t>1.6 Tflops</t>
  </si>
  <si>
    <t>625 Gflops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</si>
</sst>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&quot;$&quot;#,##0.00_);[Red]\(&quot;$&quot;#,##0.00\)"/>
    <numFmt numFmtId="164" formatCode="0.00000000"/>
    <numFmt numFmtId="165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 wrapText="1"/>
    </xf>
    <xf numFmtId="8" fontId="0" fillId="0" borderId="0" xfId="0" applyNumberFormat="1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 wrapText="1"/>
    </xf>
    <xf numFmtId="0" fontId="2" fillId="2" borderId="0" xfId="0" applyFont="1" applyFill="1" applyAlignment="1">
      <alignment wrapText="1"/>
    </xf>
    <xf numFmtId="0" fontId="0" fillId="0" borderId="0" xfId="0" applyAlignment="1">
      <alignment vertical="top" wrapText="1"/>
    </xf>
    <xf numFmtId="0" fontId="0" fillId="3" borderId="0" xfId="0" applyFill="1"/>
    <xf numFmtId="0" fontId="0" fillId="0" borderId="0" xfId="0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 wrapText="1"/>
    </xf>
    <xf numFmtId="4" fontId="0" fillId="0" borderId="0" xfId="0" applyNumberFormat="1" applyAlignment="1">
      <alignment vertical="top" wrapText="1"/>
    </xf>
    <xf numFmtId="164" fontId="0" fillId="0" borderId="0" xfId="0" applyNumberFormat="1" applyAlignment="1">
      <alignment vertical="top" wrapText="1"/>
    </xf>
    <xf numFmtId="165" fontId="0" fillId="0" borderId="0" xfId="0" applyNumberFormat="1"/>
    <xf numFmtId="0" fontId="0" fillId="0" borderId="0" xfId="0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NumberFormat="1" applyAlignment="1">
      <alignment horizontal="center" vertical="top" wrapText="1"/>
    </xf>
    <xf numFmtId="0" fontId="0" fillId="4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Summary!$F$21</c:f>
              <c:strCache>
                <c:ptCount val="1"/>
                <c:pt idx="0">
                  <c:v>pr.c3.8xlarge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rgbClr val="4472C4"/>
              </a:solidFill>
              <a:prstDash val="solid"/>
            </a:ln>
            <a:effectLst/>
          </c:spPr>
          <c:marker>
            <c:symbol val="x"/>
            <c:size val="5"/>
            <c:spPr>
              <a:solidFill>
                <a:srgbClr val="D9E1F2"/>
              </a:solidFill>
              <a:ln w="22225">
                <a:solidFill>
                  <a:srgbClr val="D9E1F2"/>
                </a:solidFill>
                <a:prstDash val="solid"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Summary!$A$22:$A$28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  <c:extLst xmlns:c15="http://schemas.microsoft.com/office/drawing/2012/chart"/>
            </c:numRef>
          </c:cat>
          <c:val>
            <c:numRef>
              <c:f>Summary!$F$22:$F$28</c:f>
              <c:numCache>
                <c:formatCode>0.0000000000</c:formatCode>
                <c:ptCount val="7"/>
                <c:pt idx="0">
                  <c:v>2.294037800620773E-2</c:v>
                </c:pt>
                <c:pt idx="1">
                  <c:v>2.294037800620773E-2</c:v>
                </c:pt>
                <c:pt idx="2">
                  <c:v>2.294037800620773E-2</c:v>
                </c:pt>
                <c:pt idx="3">
                  <c:v>7.9037258465228175E-3</c:v>
                </c:pt>
                <c:pt idx="4">
                  <c:v>1.1914429149032743E-3</c:v>
                </c:pt>
                <c:pt idx="5">
                  <c:v>4.6850521886459726E-4</c:v>
                </c:pt>
                <c:pt idx="6">
                  <c:v>4.1309995014722142E-4</c:v>
                </c:pt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352-4DE5-B270-2018E9F3D2AD}"/>
            </c:ext>
          </c:extLst>
        </c:ser>
        <c:ser>
          <c:idx val="11"/>
          <c:order val="11"/>
          <c:tx>
            <c:strRef>
              <c:f>Summary!$N$21</c:f>
              <c:strCache>
                <c:ptCount val="1"/>
                <c:pt idx="0">
                  <c:v>c3.8xlarge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rgbClr val="4472C4"/>
              </a:solidFill>
              <a:prstDash val="dash"/>
            </a:ln>
            <a:effectLst/>
          </c:spPr>
          <c:marker>
            <c:symbol val="x"/>
            <c:size val="5"/>
            <c:spPr>
              <a:solidFill>
                <a:srgbClr val="D9E1F2"/>
              </a:solidFill>
              <a:ln w="22225">
                <a:solidFill>
                  <a:srgbClr val="D9E1F2"/>
                </a:solidFill>
                <a:prstDash val="dash"/>
              </a:ln>
              <a:effectLst>
                <a:glow rad="63500">
                  <a:schemeClr val="accent6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Summary!$A$22:$A$28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  <c:extLst xmlns:c15="http://schemas.microsoft.com/office/drawing/2012/chart"/>
            </c:numRef>
          </c:cat>
          <c:val>
            <c:numRef>
              <c:f>Summary!$N$22:$N$28</c:f>
              <c:numCache>
                <c:formatCode>0.0000000000</c:formatCode>
                <c:ptCount val="7"/>
                <c:pt idx="0">
                  <c:v>4.6874999999999998E-3</c:v>
                </c:pt>
                <c:pt idx="1">
                  <c:v>4.6874999999999998E-3</c:v>
                </c:pt>
                <c:pt idx="2">
                  <c:v>4.6874999999999998E-3</c:v>
                </c:pt>
                <c:pt idx="3">
                  <c:v>4.6874999999999998E-3</c:v>
                </c:pt>
                <c:pt idx="4">
                  <c:v>4.6874999999999998E-3</c:v>
                </c:pt>
                <c:pt idx="5">
                  <c:v>4.6874999999999998E-3</c:v>
                </c:pt>
                <c:pt idx="6">
                  <c:v>4.6874999999999998E-3</c:v>
                </c:pt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352-4DE5-B270-2018E9F3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854303"/>
        <c:axId val="8488547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Summary!$C$21</c15:sqref>
                        </c15:formulaRef>
                      </c:ext>
                    </c:extLst>
                    <c:strCache>
                      <c:ptCount val="1"/>
                      <c:pt idx="0">
                        <c:v>pr.m4.10xlarge</c:v>
                      </c:pt>
                    </c:strCache>
                  </c:strRef>
                </c:tx>
                <c:spPr>
                  <a:ln w="22225" cap="rnd">
                    <a:solidFill>
                      <a:srgbClr val="00CCFF"/>
                    </a:solidFill>
                    <a:prstDash val="solid"/>
                  </a:ln>
                  <a:effectLst/>
                </c:spPr>
                <c:marker>
                  <c:symbol val="square"/>
                  <c:size val="5"/>
                  <c:spPr>
                    <a:solidFill>
                      <a:srgbClr val="BDD7EE"/>
                    </a:solidFill>
                    <a:ln w="22225">
                      <a:solidFill>
                        <a:srgbClr val="BDD7EE"/>
                      </a:solidFill>
                      <a:prstDash val="solid"/>
                    </a:ln>
                    <a:effectLst>
                      <a:glow rad="63500">
                        <a:schemeClr val="accent1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Summary!$A$22:$A$28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10</c:v>
                      </c:pt>
                      <c:pt idx="2">
                        <c:v>100</c:v>
                      </c:pt>
                      <c:pt idx="3">
                        <c:v>1000</c:v>
                      </c:pt>
                      <c:pt idx="4">
                        <c:v>10000</c:v>
                      </c:pt>
                      <c:pt idx="5">
                        <c:v>100000</c:v>
                      </c:pt>
                      <c:pt idx="6">
                        <c:v>1000000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Summary!$C$22:$C$28</c15:sqref>
                        </c15:formulaRef>
                      </c:ext>
                    </c:extLst>
                    <c:numCache>
                      <c:formatCode>0.0000000000</c:formatCode>
                      <c:ptCount val="7"/>
                      <c:pt idx="0">
                        <c:v>1.6013578494850616E-2</c:v>
                      </c:pt>
                      <c:pt idx="1">
                        <c:v>1.6013578494850616E-2</c:v>
                      </c:pt>
                      <c:pt idx="2">
                        <c:v>1.6013578494850616E-2</c:v>
                      </c:pt>
                      <c:pt idx="3">
                        <c:v>8.1193361110160345E-3</c:v>
                      </c:pt>
                      <c:pt idx="4">
                        <c:v>1.3528426391578217E-3</c:v>
                      </c:pt>
                      <c:pt idx="5">
                        <c:v>3.5022513446830342E-4</c:v>
                      </c:pt>
                      <c:pt idx="6">
                        <c:v>2.5609260709887033E-4</c:v>
                      </c:pt>
                    </c:numCache>
                  </c:numRef>
                </c:val>
                <c:smooth val="1"/>
                <c:extLst>
                  <c:ext xmlns:c16="http://schemas.microsoft.com/office/drawing/2014/chart" uri="{C3380CC4-5D6E-409C-BE32-E72D297353CC}">
                    <c16:uniqueId val="{00000000-4352-4DE5-B270-2018E9F3D2AD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Summary!$D$21</c15:sqref>
                        </c15:formulaRef>
                      </c:ext>
                    </c:extLst>
                    <c:strCache>
                      <c:ptCount val="1"/>
                      <c:pt idx="0">
                        <c:v>pr.m3.large</c:v>
                      </c:pt>
                    </c:strCache>
                  </c:strRef>
                </c:tx>
                <c:spPr>
                  <a:ln w="22225" cap="rnd">
                    <a:solidFill>
                      <a:srgbClr val="ED7D31"/>
                    </a:solidFill>
                    <a:prstDash val="solid"/>
                  </a:ln>
                  <a:effectLst/>
                </c:spPr>
                <c:marker>
                  <c:symbol val="diamond"/>
                  <c:size val="5"/>
                  <c:spPr>
                    <a:solidFill>
                      <a:srgbClr val="F8CBAD"/>
                    </a:solidFill>
                    <a:ln w="22225">
                      <a:solidFill>
                        <a:srgbClr val="F8CBAD"/>
                      </a:solidFill>
                      <a:prstDash val="solid"/>
                    </a:ln>
                    <a:effectLst>
                      <a:glow rad="63500">
                        <a:schemeClr val="accent2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Summary!$A$22:$A$28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10</c:v>
                      </c:pt>
                      <c:pt idx="2">
                        <c:v>100</c:v>
                      </c:pt>
                      <c:pt idx="3">
                        <c:v>1000</c:v>
                      </c:pt>
                      <c:pt idx="4">
                        <c:v>10000</c:v>
                      </c:pt>
                      <c:pt idx="5">
                        <c:v>100000</c:v>
                      </c:pt>
                      <c:pt idx="6">
                        <c:v>1000000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Summary!$D$22:$D$28</c15:sqref>
                        </c15:formulaRef>
                      </c:ext>
                    </c:extLst>
                    <c:numCache>
                      <c:formatCode>0.0000000000</c:formatCode>
                      <c:ptCount val="7"/>
                      <c:pt idx="0">
                        <c:v>1.293719963756541E-2</c:v>
                      </c:pt>
                      <c:pt idx="1">
                        <c:v>1.293719963756541E-2</c:v>
                      </c:pt>
                      <c:pt idx="2">
                        <c:v>1.293719963756541E-2</c:v>
                      </c:pt>
                      <c:pt idx="3">
                        <c:v>6.6218057304977479E-3</c:v>
                      </c:pt>
                      <c:pt idx="4">
                        <c:v>1.4553896928969322E-3</c:v>
                      </c:pt>
                      <c:pt idx="5">
                        <c:v>4.2868368225789153E-4</c:v>
                      </c:pt>
                      <c:pt idx="6">
                        <c:v>3.3428869797444297E-4</c:v>
                      </c:pt>
                    </c:numCache>
                  </c:numRef>
                </c: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352-4DE5-B270-2018E9F3D2A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Summary!$E$21</c15:sqref>
                        </c15:formulaRef>
                      </c:ext>
                    </c:extLst>
                    <c:strCache>
                      <c:ptCount val="1"/>
                      <c:pt idx="0">
                        <c:v>pr.m3.2xlarge</c:v>
                      </c:pt>
                    </c:strCache>
                  </c:strRef>
                </c:tx>
                <c:spPr>
                  <a:ln w="22225" cap="rnd">
                    <a:solidFill>
                      <a:srgbClr val="E2EFDA"/>
                    </a:solidFill>
                    <a:prstDash val="solid"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rgbClr val="70AD47"/>
                    </a:solidFill>
                    <a:ln w="22225">
                      <a:solidFill>
                        <a:srgbClr val="70AD47"/>
                      </a:solidFill>
                      <a:prstDash val="solid"/>
                    </a:ln>
                    <a:effectLst>
                      <a:glow rad="63500">
                        <a:schemeClr val="accent3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Summary!$A$22:$A$28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10</c:v>
                      </c:pt>
                      <c:pt idx="2">
                        <c:v>100</c:v>
                      </c:pt>
                      <c:pt idx="3">
                        <c:v>1000</c:v>
                      </c:pt>
                      <c:pt idx="4">
                        <c:v>10000</c:v>
                      </c:pt>
                      <c:pt idx="5">
                        <c:v>100000</c:v>
                      </c:pt>
                      <c:pt idx="6">
                        <c:v>1000000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Summary!$E$22:$E$28</c15:sqref>
                        </c15:formulaRef>
                      </c:ext>
                    </c:extLst>
                    <c:numCache>
                      <c:formatCode>0.0000000000</c:formatCode>
                      <c:ptCount val="7"/>
                      <c:pt idx="0">
                        <c:v>1.2933443117165631E-2</c:v>
                      </c:pt>
                      <c:pt idx="1">
                        <c:v>1.2933443117165631E-2</c:v>
                      </c:pt>
                      <c:pt idx="2">
                        <c:v>1.2933443117165631E-2</c:v>
                      </c:pt>
                      <c:pt idx="3">
                        <c:v>6.6180492100979676E-3</c:v>
                      </c:pt>
                      <c:pt idx="4">
                        <c:v>1.450908740678969E-3</c:v>
                      </c:pt>
                      <c:pt idx="5">
                        <c:v>4.2454769757239633E-4</c:v>
                      </c:pt>
                      <c:pt idx="6">
                        <c:v>3.2930856912936457E-4</c:v>
                      </c:pt>
                    </c:numCache>
                  </c:numRef>
                </c: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352-4DE5-B270-2018E9F3D2AD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Summary!$G$21</c15:sqref>
                        </c15:formulaRef>
                      </c:ext>
                    </c:extLst>
                    <c:strCache>
                      <c:ptCount val="1"/>
                      <c:pt idx="0">
                        <c:v>pr.g2.2xlarge</c:v>
                      </c:pt>
                    </c:strCache>
                  </c:strRef>
                </c:tx>
                <c:spPr>
                  <a:ln w="22225" cap="rnd">
                    <a:solidFill>
                      <a:srgbClr val="A5A5A5"/>
                    </a:solidFill>
                    <a:prstDash val="solid"/>
                  </a:ln>
                  <a:effectLst/>
                </c:spPr>
                <c:marker>
                  <c:symbol val="star"/>
                  <c:size val="5"/>
                  <c:spPr>
                    <a:solidFill>
                      <a:srgbClr val="EDEDED"/>
                    </a:solidFill>
                    <a:ln w="22225">
                      <a:solidFill>
                        <a:srgbClr val="EDEDED"/>
                      </a:solidFill>
                      <a:prstDash val="solid"/>
                    </a:ln>
                    <a:effectLst>
                      <a:glow rad="63500">
                        <a:schemeClr val="accent5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Summary!$A$22:$A$28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10</c:v>
                      </c:pt>
                      <c:pt idx="2">
                        <c:v>100</c:v>
                      </c:pt>
                      <c:pt idx="3">
                        <c:v>1000</c:v>
                      </c:pt>
                      <c:pt idx="4">
                        <c:v>10000</c:v>
                      </c:pt>
                      <c:pt idx="5">
                        <c:v>100000</c:v>
                      </c:pt>
                      <c:pt idx="6">
                        <c:v>1000000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Summary!$G$22:$G$28</c15:sqref>
                        </c15:formulaRef>
                      </c:ext>
                    </c:extLst>
                    <c:numCache>
                      <c:formatCode>0.0000000000</c:formatCode>
                      <c:ptCount val="7"/>
                      <c:pt idx="0">
                        <c:v>8.1032801176568058E-4</c:v>
                      </c:pt>
                      <c:pt idx="1">
                        <c:v>8.1032801176568058E-4</c:v>
                      </c:pt>
                      <c:pt idx="2">
                        <c:v>8.1032801176568058E-4</c:v>
                      </c:pt>
                      <c:pt idx="3">
                        <c:v>8.1032801176568058E-4</c:v>
                      </c:pt>
                      <c:pt idx="4">
                        <c:v>8.1032801176568058E-4</c:v>
                      </c:pt>
                      <c:pt idx="5">
                        <c:v>1.4785962841104474E-4</c:v>
                      </c:pt>
                      <c:pt idx="6">
                        <c:v>4.9221593185751897E-5</c:v>
                      </c:pt>
                    </c:numCache>
                  </c:numRef>
                </c: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352-4DE5-B270-2018E9F3D2AD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Summary!$H$21</c15:sqref>
                        </c15:formulaRef>
                      </c:ext>
                    </c:extLst>
                    <c:strCache>
                      <c:ptCount val="1"/>
                      <c:pt idx="0">
                        <c:v>pr.r3.4xlarge</c:v>
                      </c:pt>
                    </c:strCache>
                  </c:strRef>
                </c:tx>
                <c:spPr>
                  <a:ln w="22225" cap="rnd">
                    <a:solidFill>
                      <a:srgbClr val="F4B084"/>
                    </a:solidFill>
                    <a:prstDash val="solid"/>
                  </a:ln>
                  <a:effectLst/>
                </c:spPr>
                <c:marker>
                  <c:symbol val="dot"/>
                  <c:size val="5"/>
                  <c:spPr>
                    <a:solidFill>
                      <a:srgbClr val="833C0C"/>
                    </a:solidFill>
                    <a:ln w="22225">
                      <a:solidFill>
                        <a:srgbClr val="833C0C"/>
                      </a:solidFill>
                      <a:prstDash val="solid"/>
                    </a:ln>
                    <a:effectLst>
                      <a:glow rad="63500">
                        <a:schemeClr val="accent6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Summary!$A$22:$A$28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10</c:v>
                      </c:pt>
                      <c:pt idx="2">
                        <c:v>100</c:v>
                      </c:pt>
                      <c:pt idx="3">
                        <c:v>1000</c:v>
                      </c:pt>
                      <c:pt idx="4">
                        <c:v>10000</c:v>
                      </c:pt>
                      <c:pt idx="5">
                        <c:v>100000</c:v>
                      </c:pt>
                      <c:pt idx="6">
                        <c:v>1000000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Summary!$H$22:$H$28</c15:sqref>
                        </c15:formulaRef>
                      </c:ext>
                    </c:extLst>
                    <c:numCache>
                      <c:formatCode>0.0000000000</c:formatCode>
                      <c:ptCount val="7"/>
                      <c:pt idx="0">
                        <c:v>1.3000686522605574E-2</c:v>
                      </c:pt>
                      <c:pt idx="1">
                        <c:v>1.3000686522605574E-2</c:v>
                      </c:pt>
                      <c:pt idx="2">
                        <c:v>1.3000686522605574E-2</c:v>
                      </c:pt>
                      <c:pt idx="3">
                        <c:v>6.6852926155379086E-3</c:v>
                      </c:pt>
                      <c:pt idx="4">
                        <c:v>1.5181521461189109E-3</c:v>
                      </c:pt>
                      <c:pt idx="5">
                        <c:v>4.9141163872662365E-4</c:v>
                      </c:pt>
                      <c:pt idx="6">
                        <c:v>3.957030962103811E-4</c:v>
                      </c:pt>
                    </c:numCache>
                  </c:numRef>
                </c: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352-4DE5-B270-2018E9F3D2AD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Summary!$I$21</c15:sqref>
                        </c15:formulaRef>
                      </c:ext>
                    </c:extLst>
                    <c:strCache>
                      <c:ptCount val="1"/>
                      <c:pt idx="0">
                        <c:v>pr.i2.8xlarge</c:v>
                      </c:pt>
                    </c:strCache>
                  </c:strRef>
                </c:tx>
                <c:spPr>
                  <a:ln w="22225" cap="rnd">
                    <a:solidFill>
                      <a:srgbClr val="FFFF00"/>
                    </a:solidFill>
                    <a:prstDash val="solid"/>
                  </a:ln>
                  <a:effectLst/>
                </c:spPr>
                <c:marker>
                  <c:symbol val="dash"/>
                  <c:size val="5"/>
                  <c:spPr>
                    <a:solidFill>
                      <a:srgbClr val="FF0000"/>
                    </a:solidFill>
                    <a:ln w="22225">
                      <a:solidFill>
                        <a:srgbClr val="FF0000"/>
                      </a:solidFill>
                      <a:prstDash val="solid"/>
                    </a:ln>
                    <a:effectLst>
                      <a:glow rad="63500">
                        <a:schemeClr val="accent1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Summary!$A$22:$A$28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10</c:v>
                      </c:pt>
                      <c:pt idx="2">
                        <c:v>100</c:v>
                      </c:pt>
                      <c:pt idx="3">
                        <c:v>1000</c:v>
                      </c:pt>
                      <c:pt idx="4">
                        <c:v>10000</c:v>
                      </c:pt>
                      <c:pt idx="5">
                        <c:v>100000</c:v>
                      </c:pt>
                      <c:pt idx="6">
                        <c:v>1000000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Summary!$I$22:$I$28</c15:sqref>
                        </c15:formulaRef>
                      </c:ext>
                    </c:extLst>
                    <c:numCache>
                      <c:formatCode>0.0000000000</c:formatCode>
                      <c:ptCount val="7"/>
                      <c:pt idx="0">
                        <c:v>1.3199098292792383E-2</c:v>
                      </c:pt>
                      <c:pt idx="1">
                        <c:v>1.3199098292792383E-2</c:v>
                      </c:pt>
                      <c:pt idx="2">
                        <c:v>1.3199098292792383E-2</c:v>
                      </c:pt>
                      <c:pt idx="3">
                        <c:v>6.8837043857247178E-3</c:v>
                      </c:pt>
                      <c:pt idx="4">
                        <c:v>1.7172883481239003E-3</c:v>
                      </c:pt>
                      <c:pt idx="5">
                        <c:v>6.9058233748485996E-4</c:v>
                      </c:pt>
                      <c:pt idx="6">
                        <c:v>5.9618735320141145E-4</c:v>
                      </c:pt>
                    </c:numCache>
                  </c:numRef>
                </c: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352-4DE5-B270-2018E9F3D2AD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Summary!$J$21</c15:sqref>
                        </c15:formulaRef>
                      </c:ext>
                    </c:extLst>
                    <c:strCache>
                      <c:ptCount val="1"/>
                      <c:pt idx="0">
                        <c:v>pr.d2.8xlarge</c:v>
                      </c:pt>
                    </c:strCache>
                  </c:strRef>
                </c:tx>
                <c:spPr>
                  <a:ln w="22225" cap="rnd">
                    <a:solidFill>
                      <a:srgbClr val="C00000"/>
                    </a:solidFill>
                    <a:prstDash val="solid"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3FFFFF"/>
                    </a:solidFill>
                    <a:ln w="22225">
                      <a:solidFill>
                        <a:srgbClr val="3FFFFF"/>
                      </a:solidFill>
                      <a:prstDash val="solid"/>
                    </a:ln>
                    <a:effectLst>
                      <a:glow rad="63500">
                        <a:schemeClr val="accent2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Summary!$A$22:$A$28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10</c:v>
                      </c:pt>
                      <c:pt idx="2">
                        <c:v>100</c:v>
                      </c:pt>
                      <c:pt idx="3">
                        <c:v>1000</c:v>
                      </c:pt>
                      <c:pt idx="4">
                        <c:v>10000</c:v>
                      </c:pt>
                      <c:pt idx="5">
                        <c:v>100000</c:v>
                      </c:pt>
                      <c:pt idx="6">
                        <c:v>1000000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Summary!$J$22:$J$28</c15:sqref>
                        </c15:formulaRef>
                      </c:ext>
                    </c:extLst>
                    <c:numCache>
                      <c:formatCode>0.0000000000</c:formatCode>
                      <c:ptCount val="7"/>
                      <c:pt idx="0">
                        <c:v>1.6153725106391476E-2</c:v>
                      </c:pt>
                      <c:pt idx="1">
                        <c:v>1.6153725106391476E-2</c:v>
                      </c:pt>
                      <c:pt idx="2">
                        <c:v>1.6153725106391476E-2</c:v>
                      </c:pt>
                      <c:pt idx="3">
                        <c:v>8.2594827225568931E-3</c:v>
                      </c:pt>
                      <c:pt idx="4">
                        <c:v>1.4178059899002575E-3</c:v>
                      </c:pt>
                      <c:pt idx="5">
                        <c:v>4.7581686444052068E-4</c:v>
                      </c:pt>
                      <c:pt idx="6">
                        <c:v>3.8917246885288064E-4</c:v>
                      </c:pt>
                    </c:numCache>
                  </c:numRef>
                </c: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352-4DE5-B270-2018E9F3D2AD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Summary!$K$21</c15:sqref>
                        </c15:formulaRef>
                      </c:ext>
                    </c:extLst>
                    <c:strCache>
                      <c:ptCount val="1"/>
                      <c:pt idx="0">
                        <c:v>m4.10xlarge</c:v>
                      </c:pt>
                    </c:strCache>
                  </c:strRef>
                </c:tx>
                <c:spPr>
                  <a:ln w="22225" cap="rnd">
                    <a:solidFill>
                      <a:srgbClr val="00CCFF"/>
                    </a:solidFill>
                    <a:prstDash val="dash"/>
                  </a:ln>
                  <a:effectLst/>
                </c:spPr>
                <c:marker>
                  <c:symbol val="square"/>
                  <c:size val="5"/>
                  <c:spPr>
                    <a:solidFill>
                      <a:srgbClr val="BDD7EE"/>
                    </a:solidFill>
                    <a:ln w="22225">
                      <a:solidFill>
                        <a:srgbClr val="BDD7EE"/>
                      </a:solidFill>
                      <a:prstDash val="dash"/>
                    </a:ln>
                    <a:effectLst>
                      <a:glow rad="63500">
                        <a:schemeClr val="accent3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Summary!$A$22:$A$28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10</c:v>
                      </c:pt>
                      <c:pt idx="2">
                        <c:v>100</c:v>
                      </c:pt>
                      <c:pt idx="3">
                        <c:v>1000</c:v>
                      </c:pt>
                      <c:pt idx="4">
                        <c:v>10000</c:v>
                      </c:pt>
                      <c:pt idx="5">
                        <c:v>100000</c:v>
                      </c:pt>
                      <c:pt idx="6">
                        <c:v>1000000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Summary!$K$22:$K$28</c15:sqref>
                        </c15:formulaRef>
                      </c:ext>
                    </c:extLst>
                    <c:numCache>
                      <c:formatCode>0.0000000000</c:formatCode>
                      <c:ptCount val="7"/>
                      <c:pt idx="0">
                        <c:v>3.1171875000000002E-3</c:v>
                      </c:pt>
                      <c:pt idx="1">
                        <c:v>3.1171875000000002E-3</c:v>
                      </c:pt>
                      <c:pt idx="2">
                        <c:v>3.1171875000000002E-3</c:v>
                      </c:pt>
                      <c:pt idx="3">
                        <c:v>3.1171875000000002E-3</c:v>
                      </c:pt>
                      <c:pt idx="4">
                        <c:v>3.1171875000000002E-3</c:v>
                      </c:pt>
                      <c:pt idx="5">
                        <c:v>3.1171875000000002E-3</c:v>
                      </c:pt>
                      <c:pt idx="6">
                        <c:v>3.1171875000000002E-3</c:v>
                      </c:pt>
                    </c:numCache>
                  </c:numRef>
                </c: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352-4DE5-B270-2018E9F3D2AD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Summary!$L$21</c15:sqref>
                        </c15:formulaRef>
                      </c:ext>
                    </c:extLst>
                    <c:strCache>
                      <c:ptCount val="1"/>
                      <c:pt idx="0">
                        <c:v>m3.large</c:v>
                      </c:pt>
                    </c:strCache>
                  </c:strRef>
                </c:tx>
                <c:spPr>
                  <a:ln w="22225" cap="rnd">
                    <a:solidFill>
                      <a:srgbClr val="ED7D31"/>
                    </a:solidFill>
                    <a:prstDash val="dash"/>
                  </a:ln>
                  <a:effectLst/>
                </c:spPr>
                <c:marker>
                  <c:symbol val="diamond"/>
                  <c:size val="5"/>
                  <c:spPr>
                    <a:solidFill>
                      <a:srgbClr val="F8CBAD"/>
                    </a:solidFill>
                    <a:ln w="22225">
                      <a:solidFill>
                        <a:srgbClr val="F8CBAD"/>
                      </a:solidFill>
                      <a:prstDash val="dash"/>
                    </a:ln>
                    <a:effectLst>
                      <a:glow rad="63500">
                        <a:schemeClr val="accent4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Summary!$A$22:$A$28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10</c:v>
                      </c:pt>
                      <c:pt idx="2">
                        <c:v>100</c:v>
                      </c:pt>
                      <c:pt idx="3">
                        <c:v>1000</c:v>
                      </c:pt>
                      <c:pt idx="4">
                        <c:v>10000</c:v>
                      </c:pt>
                      <c:pt idx="5">
                        <c:v>100000</c:v>
                      </c:pt>
                      <c:pt idx="6">
                        <c:v>1000000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Summary!$L$22:$L$28</c15:sqref>
                        </c15:formulaRef>
                      </c:ext>
                    </c:extLst>
                    <c:numCache>
                      <c:formatCode>0.0000000000</c:formatCode>
                      <c:ptCount val="7"/>
                      <c:pt idx="0">
                        <c:v>6.6500000000000005E-3</c:v>
                      </c:pt>
                      <c:pt idx="1">
                        <c:v>6.6500000000000005E-3</c:v>
                      </c:pt>
                      <c:pt idx="2">
                        <c:v>6.6500000000000005E-3</c:v>
                      </c:pt>
                      <c:pt idx="3">
                        <c:v>6.6500000000000005E-3</c:v>
                      </c:pt>
                      <c:pt idx="4">
                        <c:v>6.6500000000000005E-3</c:v>
                      </c:pt>
                      <c:pt idx="5">
                        <c:v>6.6500000000000005E-3</c:v>
                      </c:pt>
                      <c:pt idx="6">
                        <c:v>6.6500000000000005E-3</c:v>
                      </c:pt>
                    </c:numCache>
                  </c:numRef>
                </c: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352-4DE5-B270-2018E9F3D2AD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Summary!$M$21</c15:sqref>
                        </c15:formulaRef>
                      </c:ext>
                    </c:extLst>
                    <c:strCache>
                      <c:ptCount val="1"/>
                      <c:pt idx="0">
                        <c:v>m3.2xlarge</c:v>
                      </c:pt>
                    </c:strCache>
                  </c:strRef>
                </c:tx>
                <c:spPr>
                  <a:ln w="22225" cap="rnd">
                    <a:solidFill>
                      <a:srgbClr val="E2EFDA"/>
                    </a:solidFill>
                    <a:prstDash val="dash"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rgbClr val="70AD47"/>
                    </a:solidFill>
                    <a:ln w="22225">
                      <a:solidFill>
                        <a:srgbClr val="70AD47"/>
                      </a:solidFill>
                      <a:prstDash val="dash"/>
                    </a:ln>
                    <a:effectLst>
                      <a:glow rad="63500">
                        <a:schemeClr val="accent5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Summary!$A$22:$A$28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10</c:v>
                      </c:pt>
                      <c:pt idx="2">
                        <c:v>100</c:v>
                      </c:pt>
                      <c:pt idx="3">
                        <c:v>1000</c:v>
                      </c:pt>
                      <c:pt idx="4">
                        <c:v>10000</c:v>
                      </c:pt>
                      <c:pt idx="5">
                        <c:v>100000</c:v>
                      </c:pt>
                      <c:pt idx="6">
                        <c:v>1000000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Summary!$M$22:$M$28</c15:sqref>
                        </c15:formulaRef>
                      </c:ext>
                    </c:extLst>
                    <c:numCache>
                      <c:formatCode>0.0000000000</c:formatCode>
                      <c:ptCount val="7"/>
                      <c:pt idx="0">
                        <c:v>6.6500000000000005E-3</c:v>
                      </c:pt>
                      <c:pt idx="1">
                        <c:v>6.6500000000000005E-3</c:v>
                      </c:pt>
                      <c:pt idx="2">
                        <c:v>6.6500000000000005E-3</c:v>
                      </c:pt>
                      <c:pt idx="3">
                        <c:v>6.6500000000000005E-3</c:v>
                      </c:pt>
                      <c:pt idx="4">
                        <c:v>6.6500000000000005E-3</c:v>
                      </c:pt>
                      <c:pt idx="5">
                        <c:v>6.6500000000000005E-3</c:v>
                      </c:pt>
                      <c:pt idx="6">
                        <c:v>6.6500000000000005E-3</c:v>
                      </c:pt>
                    </c:numCache>
                  </c:numRef>
                </c: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352-4DE5-B270-2018E9F3D2AD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Summary!$O$21</c15:sqref>
                        </c15:formulaRef>
                      </c:ext>
                    </c:extLst>
                    <c:strCache>
                      <c:ptCount val="1"/>
                      <c:pt idx="0">
                        <c:v>g2.2xlarge</c:v>
                      </c:pt>
                    </c:strCache>
                  </c:strRef>
                </c:tx>
                <c:spPr>
                  <a:ln w="22225" cap="rnd">
                    <a:solidFill>
                      <a:srgbClr val="A5A5A5"/>
                    </a:solidFill>
                    <a:prstDash val="dash"/>
                  </a:ln>
                  <a:effectLst/>
                </c:spPr>
                <c:marker>
                  <c:symbol val="star"/>
                  <c:size val="5"/>
                  <c:spPr>
                    <a:solidFill>
                      <a:srgbClr val="EDEDED"/>
                    </a:solidFill>
                    <a:ln w="22225">
                      <a:solidFill>
                        <a:srgbClr val="EDEDED"/>
                      </a:solidFill>
                      <a:prstDash val="dash"/>
                    </a:ln>
                    <a:effectLst>
                      <a:glow rad="63500">
                        <a:schemeClr val="accent1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Summary!$A$22:$A$28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10</c:v>
                      </c:pt>
                      <c:pt idx="2">
                        <c:v>100</c:v>
                      </c:pt>
                      <c:pt idx="3">
                        <c:v>1000</c:v>
                      </c:pt>
                      <c:pt idx="4">
                        <c:v>10000</c:v>
                      </c:pt>
                      <c:pt idx="5">
                        <c:v>100000</c:v>
                      </c:pt>
                      <c:pt idx="6">
                        <c:v>1000000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Summary!$O$22:$O$28</c15:sqref>
                        </c15:formulaRef>
                      </c:ext>
                    </c:extLst>
                    <c:numCache>
                      <c:formatCode>0.0000000000</c:formatCode>
                      <c:ptCount val="7"/>
                      <c:pt idx="0">
                        <c:v>2.567546215831885E-4</c:v>
                      </c:pt>
                      <c:pt idx="1">
                        <c:v>2.567546215831885E-4</c:v>
                      </c:pt>
                      <c:pt idx="2">
                        <c:v>2.567546215831885E-4</c:v>
                      </c:pt>
                      <c:pt idx="3">
                        <c:v>2.567546215831885E-4</c:v>
                      </c:pt>
                      <c:pt idx="4">
                        <c:v>2.567546215831885E-4</c:v>
                      </c:pt>
                      <c:pt idx="5">
                        <c:v>2.567546215831885E-4</c:v>
                      </c:pt>
                      <c:pt idx="6">
                        <c:v>2.567546215831885E-4</c:v>
                      </c:pt>
                    </c:numCache>
                  </c:numRef>
                </c: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352-4DE5-B270-2018E9F3D2AD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Summary!$P$21</c15:sqref>
                        </c15:formulaRef>
                      </c:ext>
                    </c:extLst>
                    <c:strCache>
                      <c:ptCount val="1"/>
                      <c:pt idx="0">
                        <c:v>r3.4xlarge</c:v>
                      </c:pt>
                    </c:strCache>
                  </c:strRef>
                </c:tx>
                <c:spPr>
                  <a:ln w="22225" cap="rnd">
                    <a:solidFill>
                      <a:srgbClr val="F4B084"/>
                    </a:solidFill>
                    <a:prstDash val="dash"/>
                  </a:ln>
                  <a:effectLst/>
                </c:spPr>
                <c:marker>
                  <c:symbol val="dot"/>
                  <c:size val="5"/>
                  <c:spPr>
                    <a:solidFill>
                      <a:srgbClr val="833C0C"/>
                    </a:solidFill>
                    <a:ln w="22225">
                      <a:solidFill>
                        <a:srgbClr val="833C0C"/>
                      </a:solidFill>
                      <a:prstDash val="dash"/>
                    </a:ln>
                    <a:effectLst>
                      <a:glow rad="63500">
                        <a:schemeClr val="accent2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Summary!$A$22:$A$28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10</c:v>
                      </c:pt>
                      <c:pt idx="2">
                        <c:v>100</c:v>
                      </c:pt>
                      <c:pt idx="3">
                        <c:v>1000</c:v>
                      </c:pt>
                      <c:pt idx="4">
                        <c:v>10000</c:v>
                      </c:pt>
                      <c:pt idx="5">
                        <c:v>100000</c:v>
                      </c:pt>
                      <c:pt idx="6">
                        <c:v>1000000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Summary!$P$22:$P$28</c15:sqref>
                        </c15:formulaRef>
                      </c:ext>
                    </c:extLst>
                    <c:numCache>
                      <c:formatCode>0.0000000000</c:formatCode>
                      <c:ptCount val="7"/>
                      <c:pt idx="0">
                        <c:v>8.3125000000000004E-3</c:v>
                      </c:pt>
                      <c:pt idx="1">
                        <c:v>8.3125000000000004E-3</c:v>
                      </c:pt>
                      <c:pt idx="2">
                        <c:v>8.3125000000000004E-3</c:v>
                      </c:pt>
                      <c:pt idx="3">
                        <c:v>8.3125000000000004E-3</c:v>
                      </c:pt>
                      <c:pt idx="4">
                        <c:v>8.3125000000000004E-3</c:v>
                      </c:pt>
                      <c:pt idx="5">
                        <c:v>8.3125000000000004E-3</c:v>
                      </c:pt>
                      <c:pt idx="6">
                        <c:v>8.3125000000000004E-3</c:v>
                      </c:pt>
                    </c:numCache>
                  </c:numRef>
                </c: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352-4DE5-B270-2018E9F3D2AD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Summary!$Q$21</c15:sqref>
                        </c15:formulaRef>
                      </c:ext>
                    </c:extLst>
                    <c:strCache>
                      <c:ptCount val="1"/>
                      <c:pt idx="0">
                        <c:v>i2.8xlarge</c:v>
                      </c:pt>
                    </c:strCache>
                  </c:strRef>
                </c:tx>
                <c:spPr>
                  <a:ln w="22225" cap="rnd">
                    <a:solidFill>
                      <a:srgbClr val="FFFF00"/>
                    </a:solidFill>
                    <a:prstDash val="dash"/>
                  </a:ln>
                  <a:effectLst/>
                </c:spPr>
                <c:marker>
                  <c:symbol val="dash"/>
                  <c:size val="5"/>
                  <c:spPr>
                    <a:solidFill>
                      <a:srgbClr val="FF0000"/>
                    </a:solidFill>
                    <a:ln w="22225">
                      <a:solidFill>
                        <a:srgbClr val="FF0000"/>
                      </a:solidFill>
                      <a:prstDash val="dash"/>
                    </a:ln>
                    <a:effectLst>
                      <a:glow rad="63500">
                        <a:schemeClr val="accent3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Summary!$A$22:$A$28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10</c:v>
                      </c:pt>
                      <c:pt idx="2">
                        <c:v>100</c:v>
                      </c:pt>
                      <c:pt idx="3">
                        <c:v>1000</c:v>
                      </c:pt>
                      <c:pt idx="4">
                        <c:v>10000</c:v>
                      </c:pt>
                      <c:pt idx="5">
                        <c:v>100000</c:v>
                      </c:pt>
                      <c:pt idx="6">
                        <c:v>1000000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Summary!$Q$22:$Q$28</c15:sqref>
                        </c15:formulaRef>
                      </c:ext>
                    </c:extLst>
                    <c:numCache>
                      <c:formatCode>0.0000000000</c:formatCode>
                      <c:ptCount val="7"/>
                      <c:pt idx="0">
                        <c:v>2.1312500000000002E-2</c:v>
                      </c:pt>
                      <c:pt idx="1">
                        <c:v>2.1312500000000002E-2</c:v>
                      </c:pt>
                      <c:pt idx="2">
                        <c:v>2.1312500000000002E-2</c:v>
                      </c:pt>
                      <c:pt idx="3">
                        <c:v>2.1312500000000002E-2</c:v>
                      </c:pt>
                      <c:pt idx="4">
                        <c:v>2.1312500000000002E-2</c:v>
                      </c:pt>
                      <c:pt idx="5">
                        <c:v>2.1312500000000002E-2</c:v>
                      </c:pt>
                      <c:pt idx="6">
                        <c:v>2.1312500000000002E-2</c:v>
                      </c:pt>
                    </c:numCache>
                  </c:numRef>
                </c: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352-4DE5-B270-2018E9F3D2AD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Summary!$R$21</c15:sqref>
                        </c15:formulaRef>
                      </c:ext>
                    </c:extLst>
                    <c:strCache>
                      <c:ptCount val="1"/>
                      <c:pt idx="0">
                        <c:v>d2.8xlarge</c:v>
                      </c:pt>
                    </c:strCache>
                  </c:strRef>
                </c:tx>
                <c:spPr>
                  <a:ln w="22225" cap="rnd">
                    <a:solidFill>
                      <a:srgbClr val="C00000"/>
                    </a:solidFill>
                    <a:prstDash val="dash"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3FFFFF"/>
                    </a:solidFill>
                    <a:ln w="22225">
                      <a:solidFill>
                        <a:srgbClr val="3FFFFF"/>
                      </a:solidFill>
                      <a:prstDash val="dash"/>
                    </a:ln>
                    <a:effectLst>
                      <a:glow rad="63500">
                        <a:schemeClr val="accent4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Summary!$A$22:$A$28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10</c:v>
                      </c:pt>
                      <c:pt idx="2">
                        <c:v>100</c:v>
                      </c:pt>
                      <c:pt idx="3">
                        <c:v>1000</c:v>
                      </c:pt>
                      <c:pt idx="4">
                        <c:v>10000</c:v>
                      </c:pt>
                      <c:pt idx="5">
                        <c:v>100000</c:v>
                      </c:pt>
                      <c:pt idx="6">
                        <c:v>1000000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Summary!$R$22:$R$28</c15:sqref>
                        </c15:formulaRef>
                      </c:ext>
                    </c:extLst>
                    <c:numCache>
                      <c:formatCode>0.0000000000</c:formatCode>
                      <c:ptCount val="7"/>
                      <c:pt idx="0">
                        <c:v>7.9861111111111105E-3</c:v>
                      </c:pt>
                      <c:pt idx="1">
                        <c:v>7.9861111111111105E-3</c:v>
                      </c:pt>
                      <c:pt idx="2">
                        <c:v>7.9861111111111105E-3</c:v>
                      </c:pt>
                      <c:pt idx="3">
                        <c:v>7.9861111111111105E-3</c:v>
                      </c:pt>
                      <c:pt idx="4">
                        <c:v>7.9861111111111105E-3</c:v>
                      </c:pt>
                      <c:pt idx="5">
                        <c:v>7.9861111111111105E-3</c:v>
                      </c:pt>
                      <c:pt idx="6">
                        <c:v>7.9861111111111105E-3</c:v>
                      </c:pt>
                    </c:numCache>
                  </c:numRef>
                </c: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352-4DE5-B270-2018E9F3D2AD}"/>
                  </c:ext>
                </c:extLst>
              </c15:ser>
            </c15:filteredLineSeries>
          </c:ext>
        </c:extLst>
      </c:lineChart>
      <c:catAx>
        <c:axId val="84885430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854719"/>
        <c:crosses val="autoZero"/>
        <c:auto val="1"/>
        <c:lblAlgn val="ctr"/>
        <c:lblOffset val="100"/>
        <c:noMultiLvlLbl val="0"/>
      </c:catAx>
      <c:valAx>
        <c:axId val="84885471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 / hour / 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85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Summary!$C$61</c:f>
              <c:strCache>
                <c:ptCount val="1"/>
                <c:pt idx="0">
                  <c:v>pr.m4.10xlarge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Summary!$B$62:$B$68</c:f>
              <c:strCache>
                <c:ptCount val="7"/>
                <c:pt idx="0">
                  <c:v>1 Gflops</c:v>
                </c:pt>
                <c:pt idx="1">
                  <c:v>10 GFlops</c:v>
                </c:pt>
                <c:pt idx="2">
                  <c:v>100 Gflops</c:v>
                </c:pt>
                <c:pt idx="3">
                  <c:v>1 Tflops</c:v>
                </c:pt>
                <c:pt idx="4">
                  <c:v>10 Tflops</c:v>
                </c:pt>
                <c:pt idx="5">
                  <c:v>100 Tflops</c:v>
                </c:pt>
                <c:pt idx="6">
                  <c:v>1 Pflops</c:v>
                </c:pt>
              </c:strCache>
            </c:strRef>
          </c:cat>
          <c:val>
            <c:numRef>
              <c:f>Summary!$C$62:$C$68</c:f>
              <c:numCache>
                <c:formatCode>General</c:formatCode>
                <c:ptCount val="7"/>
                <c:pt idx="0">
                  <c:v>513.71880885736311</c:v>
                </c:pt>
                <c:pt idx="1">
                  <c:v>513.71880885736311</c:v>
                </c:pt>
                <c:pt idx="2">
                  <c:v>513.71880885736311</c:v>
                </c:pt>
                <c:pt idx="3">
                  <c:v>260.46993037845925</c:v>
                </c:pt>
                <c:pt idx="4">
                  <c:v>43.399463110827355</c:v>
                </c:pt>
                <c:pt idx="5">
                  <c:v>11.235292534321513</c:v>
                </c:pt>
                <c:pt idx="6">
                  <c:v>8.2155021826204013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BD-4424-A245-28E1DB33363C}"/>
            </c:ext>
          </c:extLst>
        </c:ser>
        <c:ser>
          <c:idx val="1"/>
          <c:order val="1"/>
          <c:tx>
            <c:strRef>
              <c:f>Summary!$D$61</c:f>
              <c:strCache>
                <c:ptCount val="1"/>
                <c:pt idx="0">
                  <c:v>pr.m3.large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Summary!$B$62:$B$68</c:f>
              <c:strCache>
                <c:ptCount val="7"/>
                <c:pt idx="0">
                  <c:v>1 Gflops</c:v>
                </c:pt>
                <c:pt idx="1">
                  <c:v>10 GFlops</c:v>
                </c:pt>
                <c:pt idx="2">
                  <c:v>100 Gflops</c:v>
                </c:pt>
                <c:pt idx="3">
                  <c:v>1 Tflops</c:v>
                </c:pt>
                <c:pt idx="4">
                  <c:v>10 Tflops</c:v>
                </c:pt>
                <c:pt idx="5">
                  <c:v>100 Tflops</c:v>
                </c:pt>
                <c:pt idx="6">
                  <c:v>1 Pflops</c:v>
                </c:pt>
              </c:strCache>
            </c:strRef>
          </c:cat>
          <c:val>
            <c:numRef>
              <c:f>Summary!$D$62:$D$68</c:f>
              <c:numCache>
                <c:formatCode>General</c:formatCode>
                <c:ptCount val="7"/>
                <c:pt idx="0">
                  <c:v>194.5443554521114</c:v>
                </c:pt>
                <c:pt idx="1">
                  <c:v>194.5443554521114</c:v>
                </c:pt>
                <c:pt idx="2">
                  <c:v>194.5443554521114</c:v>
                </c:pt>
                <c:pt idx="3">
                  <c:v>99.576026022522512</c:v>
                </c:pt>
                <c:pt idx="4">
                  <c:v>21.885559291683187</c:v>
                </c:pt>
                <c:pt idx="5">
                  <c:v>6.4463711617728041</c:v>
                </c:pt>
                <c:pt idx="6">
                  <c:v>5.0268977139013975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BD-4424-A245-28E1DB33363C}"/>
            </c:ext>
          </c:extLst>
        </c:ser>
        <c:ser>
          <c:idx val="2"/>
          <c:order val="2"/>
          <c:tx>
            <c:strRef>
              <c:f>Summary!$E$61</c:f>
              <c:strCache>
                <c:ptCount val="1"/>
                <c:pt idx="0">
                  <c:v>pr.m3.2xlarge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Summary!$B$62:$B$68</c:f>
              <c:strCache>
                <c:ptCount val="7"/>
                <c:pt idx="0">
                  <c:v>1 Gflops</c:v>
                </c:pt>
                <c:pt idx="1">
                  <c:v>10 GFlops</c:v>
                </c:pt>
                <c:pt idx="2">
                  <c:v>100 Gflops</c:v>
                </c:pt>
                <c:pt idx="3">
                  <c:v>1 Tflops</c:v>
                </c:pt>
                <c:pt idx="4">
                  <c:v>10 Tflops</c:v>
                </c:pt>
                <c:pt idx="5">
                  <c:v>100 Tflops</c:v>
                </c:pt>
                <c:pt idx="6">
                  <c:v>1 Pflops</c:v>
                </c:pt>
              </c:strCache>
            </c:strRef>
          </c:cat>
          <c:val>
            <c:numRef>
              <c:f>Summary!$E$62:$E$68</c:f>
              <c:numCache>
                <c:formatCode>General</c:formatCode>
                <c:ptCount val="7"/>
                <c:pt idx="0">
                  <c:v>194.4878664235433</c:v>
                </c:pt>
                <c:pt idx="1">
                  <c:v>194.4878664235433</c:v>
                </c:pt>
                <c:pt idx="2">
                  <c:v>194.4878664235433</c:v>
                </c:pt>
                <c:pt idx="3">
                  <c:v>99.519536993954389</c:v>
                </c:pt>
                <c:pt idx="4">
                  <c:v>21.818176551563443</c:v>
                </c:pt>
                <c:pt idx="5">
                  <c:v>6.3841759033443051</c:v>
                </c:pt>
                <c:pt idx="6">
                  <c:v>4.9520085583363089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BD-4424-A245-28E1DB33363C}"/>
            </c:ext>
          </c:extLst>
        </c:ser>
        <c:ser>
          <c:idx val="3"/>
          <c:order val="3"/>
          <c:tx>
            <c:strRef>
              <c:f>Summary!$F$61</c:f>
              <c:strCache>
                <c:ptCount val="1"/>
                <c:pt idx="0">
                  <c:v>pr.c3.8xlarge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Summary!$B$62:$B$68</c:f>
              <c:strCache>
                <c:ptCount val="7"/>
                <c:pt idx="0">
                  <c:v>1 Gflops</c:v>
                </c:pt>
                <c:pt idx="1">
                  <c:v>10 GFlops</c:v>
                </c:pt>
                <c:pt idx="2">
                  <c:v>100 Gflops</c:v>
                </c:pt>
                <c:pt idx="3">
                  <c:v>1 Tflops</c:v>
                </c:pt>
                <c:pt idx="4">
                  <c:v>10 Tflops</c:v>
                </c:pt>
                <c:pt idx="5">
                  <c:v>100 Tflops</c:v>
                </c:pt>
                <c:pt idx="6">
                  <c:v>1 Pflops</c:v>
                </c:pt>
              </c:strCache>
            </c:strRef>
          </c:cat>
          <c:val>
            <c:numRef>
              <c:f>Summary!$F$62:$F$68</c:f>
              <c:numCache>
                <c:formatCode>General</c:formatCode>
                <c:ptCount val="7"/>
                <c:pt idx="0">
                  <c:v>489.39473079909828</c:v>
                </c:pt>
                <c:pt idx="1">
                  <c:v>489.39473079909828</c:v>
                </c:pt>
                <c:pt idx="2">
                  <c:v>489.39473079909828</c:v>
                </c:pt>
                <c:pt idx="3">
                  <c:v>168.61281805915345</c:v>
                </c:pt>
                <c:pt idx="4">
                  <c:v>25.417448851269853</c:v>
                </c:pt>
                <c:pt idx="5">
                  <c:v>9.9947780024447415</c:v>
                </c:pt>
                <c:pt idx="6">
                  <c:v>8.8127989364740582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BD-4424-A245-28E1DB33363C}"/>
            </c:ext>
          </c:extLst>
        </c:ser>
        <c:ser>
          <c:idx val="4"/>
          <c:order val="4"/>
          <c:tx>
            <c:strRef>
              <c:f>Summary!$G$61</c:f>
              <c:strCache>
                <c:ptCount val="1"/>
                <c:pt idx="0">
                  <c:v>pr.g2.2xlarge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Summary!$B$62:$B$68</c:f>
              <c:strCache>
                <c:ptCount val="7"/>
                <c:pt idx="0">
                  <c:v>1 Gflops</c:v>
                </c:pt>
                <c:pt idx="1">
                  <c:v>10 GFlops</c:v>
                </c:pt>
                <c:pt idx="2">
                  <c:v>100 Gflops</c:v>
                </c:pt>
                <c:pt idx="3">
                  <c:v>1 Tflops</c:v>
                </c:pt>
                <c:pt idx="4">
                  <c:v>10 Tflops</c:v>
                </c:pt>
                <c:pt idx="5">
                  <c:v>100 Tflops</c:v>
                </c:pt>
                <c:pt idx="6">
                  <c:v>1 Pflops</c:v>
                </c:pt>
              </c:strCache>
            </c:strRef>
          </c:cat>
          <c:val>
            <c:numRef>
              <c:f>Summary!$G$62:$G$68</c:f>
              <c:numCache>
                <c:formatCode>General</c:formatCode>
                <c:ptCount val="7"/>
                <c:pt idx="0">
                  <c:v>315.60406070553796</c:v>
                </c:pt>
                <c:pt idx="1">
                  <c:v>315.60406070553796</c:v>
                </c:pt>
                <c:pt idx="2">
                  <c:v>315.60406070553796</c:v>
                </c:pt>
                <c:pt idx="3">
                  <c:v>315.60406070553796</c:v>
                </c:pt>
                <c:pt idx="4">
                  <c:v>315.60406070553796</c:v>
                </c:pt>
                <c:pt idx="5">
                  <c:v>57.587913120830905</c:v>
                </c:pt>
                <c:pt idx="6">
                  <c:v>19.170674662930693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BD-4424-A245-28E1DB33363C}"/>
            </c:ext>
          </c:extLst>
        </c:ser>
        <c:ser>
          <c:idx val="5"/>
          <c:order val="5"/>
          <c:tx>
            <c:strRef>
              <c:f>Summary!$H$61</c:f>
              <c:strCache>
                <c:ptCount val="1"/>
                <c:pt idx="0">
                  <c:v>pr.r3.4xlarge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Summary!$B$62:$B$68</c:f>
              <c:strCache>
                <c:ptCount val="7"/>
                <c:pt idx="0">
                  <c:v>1 Gflops</c:v>
                </c:pt>
                <c:pt idx="1">
                  <c:v>10 GFlops</c:v>
                </c:pt>
                <c:pt idx="2">
                  <c:v>100 Gflops</c:v>
                </c:pt>
                <c:pt idx="3">
                  <c:v>1 Tflops</c:v>
                </c:pt>
                <c:pt idx="4">
                  <c:v>10 Tflops</c:v>
                </c:pt>
                <c:pt idx="5">
                  <c:v>100 Tflops</c:v>
                </c:pt>
                <c:pt idx="6">
                  <c:v>1 Pflops</c:v>
                </c:pt>
              </c:strCache>
            </c:strRef>
          </c:cat>
          <c:val>
            <c:numRef>
              <c:f>Summary!$H$62:$H$68</c:f>
              <c:numCache>
                <c:formatCode>General</c:formatCode>
                <c:ptCount val="7"/>
                <c:pt idx="0">
                  <c:v>156.39923636217233</c:v>
                </c:pt>
                <c:pt idx="1">
                  <c:v>156.39923636217233</c:v>
                </c:pt>
                <c:pt idx="2">
                  <c:v>156.39923636217233</c:v>
                </c:pt>
                <c:pt idx="3">
                  <c:v>80.424572818501147</c:v>
                </c:pt>
                <c:pt idx="4">
                  <c:v>18.263484464588402</c:v>
                </c:pt>
                <c:pt idx="5">
                  <c:v>5.9117189621247954</c:v>
                </c:pt>
                <c:pt idx="6">
                  <c:v>4.7603379995233812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BD-4424-A245-28E1DB33363C}"/>
            </c:ext>
          </c:extLst>
        </c:ser>
        <c:ser>
          <c:idx val="6"/>
          <c:order val="6"/>
          <c:tx>
            <c:strRef>
              <c:f>Summary!$I$61</c:f>
              <c:strCache>
                <c:ptCount val="1"/>
                <c:pt idx="0">
                  <c:v>pr.i2.8xlarge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Summary!$B$62:$B$68</c:f>
              <c:strCache>
                <c:ptCount val="7"/>
                <c:pt idx="0">
                  <c:v>1 Gflops</c:v>
                </c:pt>
                <c:pt idx="1">
                  <c:v>10 GFlops</c:v>
                </c:pt>
                <c:pt idx="2">
                  <c:v>100 Gflops</c:v>
                </c:pt>
                <c:pt idx="3">
                  <c:v>1 Tflops</c:v>
                </c:pt>
                <c:pt idx="4">
                  <c:v>10 Tflops</c:v>
                </c:pt>
                <c:pt idx="5">
                  <c:v>100 Tflops</c:v>
                </c:pt>
                <c:pt idx="6">
                  <c:v>1 Pflops</c:v>
                </c:pt>
              </c:strCache>
            </c:strRef>
          </c:cat>
          <c:val>
            <c:numRef>
              <c:f>Summary!$I$62:$I$68</c:f>
              <c:numCache>
                <c:formatCode>General</c:formatCode>
                <c:ptCount val="7"/>
                <c:pt idx="0">
                  <c:v>61.931252986709126</c:v>
                </c:pt>
                <c:pt idx="1">
                  <c:v>61.931252986709126</c:v>
                </c:pt>
                <c:pt idx="2">
                  <c:v>61.931252986709126</c:v>
                </c:pt>
                <c:pt idx="3">
                  <c:v>32.298906208679021</c:v>
                </c:pt>
                <c:pt idx="4">
                  <c:v>8.0576579384112623</c:v>
                </c:pt>
                <c:pt idx="5">
                  <c:v>3.2402690321870256</c:v>
                </c:pt>
                <c:pt idx="6">
                  <c:v>2.797360015021285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BD-4424-A245-28E1DB33363C}"/>
            </c:ext>
          </c:extLst>
        </c:ser>
        <c:ser>
          <c:idx val="7"/>
          <c:order val="7"/>
          <c:tx>
            <c:strRef>
              <c:f>Summary!$J$61</c:f>
              <c:strCache>
                <c:ptCount val="1"/>
                <c:pt idx="0">
                  <c:v>pr.d2.8xlarge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Summary!$B$62:$B$68</c:f>
              <c:strCache>
                <c:ptCount val="7"/>
                <c:pt idx="0">
                  <c:v>1 Gflops</c:v>
                </c:pt>
                <c:pt idx="1">
                  <c:v>10 GFlops</c:v>
                </c:pt>
                <c:pt idx="2">
                  <c:v>100 Gflops</c:v>
                </c:pt>
                <c:pt idx="3">
                  <c:v>1 Tflops</c:v>
                </c:pt>
                <c:pt idx="4">
                  <c:v>10 Tflops</c:v>
                </c:pt>
                <c:pt idx="5">
                  <c:v>100 Tflops</c:v>
                </c:pt>
                <c:pt idx="6">
                  <c:v>1 Pflops</c:v>
                </c:pt>
              </c:strCache>
            </c:strRef>
          </c:cat>
          <c:val>
            <c:numRef>
              <c:f>Summary!$J$62:$J$68</c:f>
              <c:numCache>
                <c:formatCode>General</c:formatCode>
                <c:ptCount val="7"/>
                <c:pt idx="0">
                  <c:v>202.27273176698893</c:v>
                </c:pt>
                <c:pt idx="1">
                  <c:v>202.27273176698893</c:v>
                </c:pt>
                <c:pt idx="2">
                  <c:v>202.27273176698893</c:v>
                </c:pt>
                <c:pt idx="3">
                  <c:v>103.42308800419066</c:v>
                </c:pt>
                <c:pt idx="4">
                  <c:v>17.753396743098879</c:v>
                </c:pt>
                <c:pt idx="5">
                  <c:v>5.9580546503856509</c:v>
                </c:pt>
                <c:pt idx="6">
                  <c:v>4.8731161317230276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1BD-4424-A245-28E1DB333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3675055"/>
        <c:axId val="353677967"/>
      </c:lineChart>
      <c:catAx>
        <c:axId val="3536750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77967"/>
        <c:crosses val="autoZero"/>
        <c:auto val="1"/>
        <c:lblAlgn val="ctr"/>
        <c:lblOffset val="100"/>
        <c:noMultiLvlLbl val="0"/>
      </c:catAx>
      <c:valAx>
        <c:axId val="35367796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7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/ flop / hour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'Summary (2)'!$C$21</c:f>
              <c:strCache>
                <c:ptCount val="1"/>
                <c:pt idx="0">
                  <c:v>pr.m4.10xlarge</c:v>
                </c:pt>
              </c:strCache>
            </c:strRef>
          </c:tx>
          <c:spPr>
            <a:ln w="22225" cap="rnd">
              <a:solidFill>
                <a:srgbClr val="00CCFF"/>
              </a:solidFill>
              <a:prstDash val="solid"/>
            </a:ln>
            <a:effectLst/>
          </c:spPr>
          <c:marker>
            <c:symbol val="square"/>
            <c:size val="5"/>
            <c:spPr>
              <a:solidFill>
                <a:srgbClr val="BDD7EE"/>
              </a:solidFill>
              <a:ln w="22225">
                <a:solidFill>
                  <a:srgbClr val="BDD7EE"/>
                </a:solidFill>
                <a:prstDash val="solid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</c:numRef>
          </c:cat>
          <c:val>
            <c:numRef>
              <c:f>'Summary (2)'!$C$22:$C$28</c:f>
              <c:numCache>
                <c:formatCode>0.0000000000</c:formatCode>
                <c:ptCount val="7"/>
                <c:pt idx="0">
                  <c:v>1.6013578494850616E-2</c:v>
                </c:pt>
                <c:pt idx="1">
                  <c:v>1.6013578494850616E-2</c:v>
                </c:pt>
                <c:pt idx="2">
                  <c:v>1.6013578494850616E-2</c:v>
                </c:pt>
                <c:pt idx="3">
                  <c:v>8.1193361110160345E-3</c:v>
                </c:pt>
                <c:pt idx="4">
                  <c:v>1.3528426391578217E-3</c:v>
                </c:pt>
                <c:pt idx="5">
                  <c:v>3.5022513446830342E-4</c:v>
                </c:pt>
                <c:pt idx="6">
                  <c:v>2.5609260709887033E-4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5048-4B7F-8DFF-BDE6579260DB}"/>
            </c:ext>
          </c:extLst>
        </c:ser>
        <c:ser>
          <c:idx val="1"/>
          <c:order val="1"/>
          <c:tx>
            <c:strRef>
              <c:f>'Summary (2)'!$D$21</c:f>
              <c:strCache>
                <c:ptCount val="1"/>
                <c:pt idx="0">
                  <c:v>pr.m3.large</c:v>
                </c:pt>
              </c:strCache>
            </c:strRef>
          </c:tx>
          <c:spPr>
            <a:ln w="22225" cap="rnd">
              <a:solidFill>
                <a:srgbClr val="ED7D31"/>
              </a:solidFill>
              <a:prstDash val="solid"/>
            </a:ln>
            <a:effectLst/>
          </c:spPr>
          <c:marker>
            <c:symbol val="diamond"/>
            <c:size val="5"/>
            <c:spPr>
              <a:solidFill>
                <a:srgbClr val="F8CBAD"/>
              </a:solidFill>
              <a:ln w="22225">
                <a:solidFill>
                  <a:srgbClr val="F8CBAD"/>
                </a:solidFill>
                <a:prstDash val="solid"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</c:numRef>
          </c:cat>
          <c:val>
            <c:numRef>
              <c:f>'Summary (2)'!$D$22:$D$28</c:f>
              <c:numCache>
                <c:formatCode>0.0000000000</c:formatCode>
                <c:ptCount val="7"/>
                <c:pt idx="0">
                  <c:v>0.62098558260313974</c:v>
                </c:pt>
                <c:pt idx="1">
                  <c:v>0.62098558260313974</c:v>
                </c:pt>
                <c:pt idx="2">
                  <c:v>0.12419711652062794</c:v>
                </c:pt>
                <c:pt idx="3">
                  <c:v>1.2713867002555675E-2</c:v>
                </c:pt>
                <c:pt idx="4">
                  <c:v>1.5368915156991605E-3</c:v>
                </c:pt>
                <c:pt idx="5">
                  <c:v>4.3211315171595466E-4</c:v>
                </c:pt>
                <c:pt idx="6">
                  <c:v>3.343956703577948E-4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5048-4B7F-8DFF-BDE6579260DB}"/>
            </c:ext>
          </c:extLst>
        </c:ser>
        <c:ser>
          <c:idx val="2"/>
          <c:order val="2"/>
          <c:tx>
            <c:strRef>
              <c:f>'Summary (2)'!$E$21</c:f>
              <c:strCache>
                <c:ptCount val="1"/>
                <c:pt idx="0">
                  <c:v>pr.m3.2xlarge</c:v>
                </c:pt>
              </c:strCache>
            </c:strRef>
          </c:tx>
          <c:spPr>
            <a:ln w="22225" cap="rnd">
              <a:solidFill>
                <a:srgbClr val="E2EFDA"/>
              </a:solidFill>
              <a:prstDash val="solid"/>
            </a:ln>
            <a:effectLst/>
          </c:spPr>
          <c:marker>
            <c:symbol val="triangle"/>
            <c:size val="5"/>
            <c:spPr>
              <a:solidFill>
                <a:srgbClr val="70AD47"/>
              </a:solidFill>
              <a:ln w="22225">
                <a:solidFill>
                  <a:srgbClr val="70AD47"/>
                </a:solidFill>
                <a:prstDash val="solid"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</c:numRef>
          </c:cat>
          <c:val>
            <c:numRef>
              <c:f>'Summary (2)'!$E$22:$E$28</c:f>
              <c:numCache>
                <c:formatCode>0.0000000000</c:formatCode>
                <c:ptCount val="7"/>
                <c:pt idx="0">
                  <c:v>0.15520131740598758</c:v>
                </c:pt>
                <c:pt idx="1">
                  <c:v>0.15520131740598758</c:v>
                </c:pt>
                <c:pt idx="2">
                  <c:v>7.7600658702993791E-2</c:v>
                </c:pt>
                <c:pt idx="3">
                  <c:v>1.2217937003257786E-2</c:v>
                </c:pt>
                <c:pt idx="4">
                  <c:v>1.5321596301569914E-3</c:v>
                </c:pt>
                <c:pt idx="5">
                  <c:v>4.279440791529755E-4</c:v>
                </c:pt>
                <c:pt idx="6">
                  <c:v>3.2941394787148597E-4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5048-4B7F-8DFF-BDE6579260DB}"/>
            </c:ext>
          </c:extLst>
        </c:ser>
        <c:ser>
          <c:idx val="3"/>
          <c:order val="3"/>
          <c:tx>
            <c:strRef>
              <c:f>'Summary (2)'!$F$21</c:f>
              <c:strCache>
                <c:ptCount val="1"/>
                <c:pt idx="0">
                  <c:v>pr.c3.8xlarge</c:v>
                </c:pt>
              </c:strCache>
            </c:strRef>
          </c:tx>
          <c:spPr>
            <a:ln w="22225" cap="rnd">
              <a:solidFill>
                <a:srgbClr val="4472C4"/>
              </a:solidFill>
              <a:prstDash val="solid"/>
            </a:ln>
            <a:effectLst/>
          </c:spPr>
          <c:marker>
            <c:symbol val="x"/>
            <c:size val="5"/>
            <c:spPr>
              <a:solidFill>
                <a:srgbClr val="D9E1F2"/>
              </a:solidFill>
              <a:ln w="22225">
                <a:solidFill>
                  <a:srgbClr val="D9E1F2"/>
                </a:solidFill>
                <a:prstDash val="solid"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</c:numRef>
          </c:cat>
          <c:val>
            <c:numRef>
              <c:f>'Summary (2)'!$F$22:$F$28</c:f>
              <c:numCache>
                <c:formatCode>0.0000000000</c:formatCode>
                <c:ptCount val="7"/>
                <c:pt idx="0">
                  <c:v>3.4410567009311589E-2</c:v>
                </c:pt>
                <c:pt idx="1">
                  <c:v>3.4410567009311589E-2</c:v>
                </c:pt>
                <c:pt idx="2">
                  <c:v>3.4410567009311589E-2</c:v>
                </c:pt>
                <c:pt idx="3">
                  <c:v>1.1855588769784226E-2</c:v>
                </c:pt>
                <c:pt idx="4">
                  <c:v>1.7871643723549114E-3</c:v>
                </c:pt>
                <c:pt idx="5">
                  <c:v>7.0275782829689573E-4</c:v>
                </c:pt>
                <c:pt idx="6">
                  <c:v>6.1964992522083213E-4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5048-4B7F-8DFF-BDE6579260DB}"/>
            </c:ext>
          </c:extLst>
        </c:ser>
        <c:ser>
          <c:idx val="4"/>
          <c:order val="4"/>
          <c:tx>
            <c:strRef>
              <c:f>'Summary (2)'!$G$21</c:f>
              <c:strCache>
                <c:ptCount val="1"/>
                <c:pt idx="0">
                  <c:v>pr.g2.2xlarge</c:v>
                </c:pt>
              </c:strCache>
            </c:strRef>
          </c:tx>
          <c:spPr>
            <a:ln w="22225" cap="rnd">
              <a:solidFill>
                <a:srgbClr val="A5A5A5"/>
              </a:solidFill>
              <a:prstDash val="solid"/>
            </a:ln>
            <a:effectLst/>
          </c:spPr>
          <c:marker>
            <c:symbol val="star"/>
            <c:size val="5"/>
            <c:spPr>
              <a:solidFill>
                <a:srgbClr val="EDEDED"/>
              </a:solidFill>
              <a:ln w="22225">
                <a:solidFill>
                  <a:srgbClr val="EDEDED"/>
                </a:solidFill>
                <a:prstDash val="solid"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</c:numRef>
          </c:cat>
          <c:val>
            <c:numRef>
              <c:f>'Summary (2)'!$G$22:$G$28</c:f>
              <c:numCache>
                <c:formatCode>0.0000000000</c:formatCode>
                <c:ptCount val="7"/>
                <c:pt idx="0">
                  <c:v>5.0217546654247949E-3</c:v>
                </c:pt>
                <c:pt idx="1">
                  <c:v>5.0217546654247949E-3</c:v>
                </c:pt>
                <c:pt idx="2">
                  <c:v>5.0217546654247949E-3</c:v>
                </c:pt>
                <c:pt idx="3">
                  <c:v>5.0217546654247949E-3</c:v>
                </c:pt>
                <c:pt idx="4">
                  <c:v>1.2554386663561987E-3</c:v>
                </c:pt>
                <c:pt idx="5">
                  <c:v>1.6035492344274759E-4</c:v>
                </c:pt>
                <c:pt idx="6">
                  <c:v>5.0839240741864465E-5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5048-4B7F-8DFF-BDE6579260DB}"/>
            </c:ext>
          </c:extLst>
        </c:ser>
        <c:ser>
          <c:idx val="5"/>
          <c:order val="5"/>
          <c:tx>
            <c:strRef>
              <c:f>'Summary (2)'!$H$21</c:f>
              <c:strCache>
                <c:ptCount val="1"/>
                <c:pt idx="0">
                  <c:v>pr.r3.4xlarge</c:v>
                </c:pt>
              </c:strCache>
            </c:strRef>
          </c:tx>
          <c:spPr>
            <a:ln w="22225" cap="rnd">
              <a:solidFill>
                <a:srgbClr val="F4B084"/>
              </a:solidFill>
              <a:prstDash val="solid"/>
            </a:ln>
            <a:effectLst/>
          </c:spPr>
          <c:marker>
            <c:symbol val="dot"/>
            <c:size val="5"/>
            <c:spPr>
              <a:solidFill>
                <a:srgbClr val="833C0C"/>
              </a:solidFill>
              <a:ln w="22225">
                <a:solidFill>
                  <a:srgbClr val="833C0C"/>
                </a:solidFill>
                <a:prstDash val="solid"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</c:numRef>
          </c:cat>
          <c:val>
            <c:numRef>
              <c:f>'Summary (2)'!$H$22:$H$28</c:f>
              <c:numCache>
                <c:formatCode>0.0000000000</c:formatCode>
                <c:ptCount val="7"/>
                <c:pt idx="0">
                  <c:v>7.8004119135633446E-2</c:v>
                </c:pt>
                <c:pt idx="1">
                  <c:v>7.8004119135633446E-2</c:v>
                </c:pt>
                <c:pt idx="2">
                  <c:v>7.8004119135633446E-2</c:v>
                </c:pt>
                <c:pt idx="3">
                  <c:v>1.1460501626636414E-2</c:v>
                </c:pt>
                <c:pt idx="4">
                  <c:v>1.5904451054579065E-3</c:v>
                </c:pt>
                <c:pt idx="5">
                  <c:v>4.9534293183643664E-4</c:v>
                </c:pt>
                <c:pt idx="6">
                  <c:v>3.9582972120116839E-4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5048-4B7F-8DFF-BDE6579260DB}"/>
            </c:ext>
          </c:extLst>
        </c:ser>
        <c:ser>
          <c:idx val="6"/>
          <c:order val="6"/>
          <c:tx>
            <c:strRef>
              <c:f>'Summary (2)'!$I$21</c:f>
              <c:strCache>
                <c:ptCount val="1"/>
                <c:pt idx="0">
                  <c:v>pr.i2.8xlarge</c:v>
                </c:pt>
              </c:strCache>
            </c:strRef>
          </c:tx>
          <c:spPr>
            <a:ln w="22225" cap="rnd">
              <a:solidFill>
                <a:srgbClr val="FFFF00"/>
              </a:solidFill>
              <a:prstDash val="solid"/>
            </a:ln>
            <a:effectLst/>
          </c:spPr>
          <c:marker>
            <c:symbol val="dash"/>
            <c:size val="5"/>
            <c:spPr>
              <a:solidFill>
                <a:srgbClr val="FF0000"/>
              </a:solidFill>
              <a:ln w="22225">
                <a:solidFill>
                  <a:srgbClr val="FF0000"/>
                </a:solidFill>
                <a:prstDash val="solid"/>
              </a:ln>
              <a:effectLst>
                <a:glow rad="63500">
                  <a:schemeClr val="accent1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</c:numRef>
          </c:cat>
          <c:val>
            <c:numRef>
              <c:f>'Summary (2)'!$I$22:$I$28</c:f>
              <c:numCache>
                <c:formatCode>0.0000000000</c:formatCode>
                <c:ptCount val="7"/>
                <c:pt idx="0">
                  <c:v>3.9597294878377147E-2</c:v>
                </c:pt>
                <c:pt idx="1">
                  <c:v>3.9597294878377147E-2</c:v>
                </c:pt>
                <c:pt idx="2">
                  <c:v>3.9597294878377147E-2</c:v>
                </c:pt>
                <c:pt idx="3">
                  <c:v>1.0325556578587077E-2</c:v>
                </c:pt>
                <c:pt idx="4">
                  <c:v>1.7709536090027723E-3</c:v>
                </c:pt>
                <c:pt idx="5">
                  <c:v>6.9499500417805396E-4</c:v>
                </c:pt>
                <c:pt idx="6">
                  <c:v>5.9637813315443588E-4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5048-4B7F-8DFF-BDE6579260DB}"/>
            </c:ext>
          </c:extLst>
        </c:ser>
        <c:ser>
          <c:idx val="7"/>
          <c:order val="7"/>
          <c:tx>
            <c:strRef>
              <c:f>'Summary (2)'!$J$21</c:f>
              <c:strCache>
                <c:ptCount val="1"/>
                <c:pt idx="0">
                  <c:v>pr.d2.8xlarge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3FFFFF"/>
              </a:solidFill>
              <a:ln w="22225">
                <a:solidFill>
                  <a:srgbClr val="3FFFFF"/>
                </a:solidFill>
                <a:prstDash val="solid"/>
              </a:ln>
              <a:effectLst>
                <a:glow rad="63500">
                  <a:schemeClr val="accent2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</c:numRef>
          </c:cat>
          <c:val>
            <c:numRef>
              <c:f>'Summary (2)'!$J$22:$J$28</c:f>
              <c:numCache>
                <c:formatCode>0.0000000000</c:formatCode>
                <c:ptCount val="7"/>
                <c:pt idx="0">
                  <c:v>1.7948583451546086E-2</c:v>
                </c:pt>
                <c:pt idx="1">
                  <c:v>1.7948583451546086E-2</c:v>
                </c:pt>
                <c:pt idx="2">
                  <c:v>1.7948583451546086E-2</c:v>
                </c:pt>
                <c:pt idx="3">
                  <c:v>9.1772030250632155E-3</c:v>
                </c:pt>
                <c:pt idx="4">
                  <c:v>1.5753399887780642E-3</c:v>
                </c:pt>
                <c:pt idx="5">
                  <c:v>5.2868540493391191E-4</c:v>
                </c:pt>
                <c:pt idx="6">
                  <c:v>4.3241385428097851E-4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5048-4B7F-8DFF-BDE6579260DB}"/>
            </c:ext>
          </c:extLst>
        </c:ser>
        <c:ser>
          <c:idx val="8"/>
          <c:order val="8"/>
          <c:tx>
            <c:strRef>
              <c:f>'Summary (2)'!$K$21</c:f>
              <c:strCache>
                <c:ptCount val="1"/>
                <c:pt idx="0">
                  <c:v>m4.10xlarge</c:v>
                </c:pt>
              </c:strCache>
            </c:strRef>
          </c:tx>
          <c:spPr>
            <a:ln w="22225" cap="rnd">
              <a:solidFill>
                <a:srgbClr val="00CCFF"/>
              </a:solidFill>
              <a:prstDash val="dash"/>
            </a:ln>
            <a:effectLst/>
          </c:spPr>
          <c:marker>
            <c:symbol val="square"/>
            <c:size val="5"/>
            <c:spPr>
              <a:solidFill>
                <a:srgbClr val="BDD7EE"/>
              </a:solidFill>
              <a:ln w="22225">
                <a:solidFill>
                  <a:srgbClr val="BDD7EE"/>
                </a:solidFill>
                <a:prstDash val="dash"/>
              </a:ln>
              <a:effectLst>
                <a:glow rad="63500">
                  <a:schemeClr val="accent3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</c:numRef>
          </c:cat>
          <c:val>
            <c:numRef>
              <c:f>'Summary (2)'!$K$22:$K$28</c:f>
              <c:numCache>
                <c:formatCode>0.0000000000</c:formatCode>
                <c:ptCount val="7"/>
                <c:pt idx="0">
                  <c:v>3.1171875000000002E-3</c:v>
                </c:pt>
                <c:pt idx="1">
                  <c:v>3.1171875000000002E-3</c:v>
                </c:pt>
                <c:pt idx="2">
                  <c:v>3.1171875000000002E-3</c:v>
                </c:pt>
                <c:pt idx="3">
                  <c:v>3.1171875000000002E-3</c:v>
                </c:pt>
                <c:pt idx="4">
                  <c:v>3.1171875000000002E-3</c:v>
                </c:pt>
                <c:pt idx="5">
                  <c:v>3.1171875000000002E-3</c:v>
                </c:pt>
                <c:pt idx="6">
                  <c:v>3.1171875000000002E-3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5048-4B7F-8DFF-BDE6579260DB}"/>
            </c:ext>
          </c:extLst>
        </c:ser>
        <c:ser>
          <c:idx val="9"/>
          <c:order val="9"/>
          <c:tx>
            <c:strRef>
              <c:f>'Summary (2)'!$L$21</c:f>
              <c:strCache>
                <c:ptCount val="1"/>
                <c:pt idx="0">
                  <c:v>m3.large</c:v>
                </c:pt>
              </c:strCache>
            </c:strRef>
          </c:tx>
          <c:spPr>
            <a:ln w="22225" cap="rnd">
              <a:solidFill>
                <a:srgbClr val="ED7D31"/>
              </a:solidFill>
              <a:prstDash val="dash"/>
            </a:ln>
            <a:effectLst/>
          </c:spPr>
          <c:marker>
            <c:symbol val="diamond"/>
            <c:size val="5"/>
            <c:spPr>
              <a:solidFill>
                <a:srgbClr val="F8CBAD"/>
              </a:solidFill>
              <a:ln w="22225">
                <a:solidFill>
                  <a:srgbClr val="F8CBAD"/>
                </a:solidFill>
                <a:prstDash val="dash"/>
              </a:ln>
              <a:effectLst>
                <a:glow rad="63500">
                  <a:schemeClr val="accent4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</c:numRef>
          </c:cat>
          <c:val>
            <c:numRef>
              <c:f>'Summary (2)'!$L$22:$L$28</c:f>
              <c:numCache>
                <c:formatCode>0.0000000000</c:formatCode>
                <c:ptCount val="7"/>
                <c:pt idx="0">
                  <c:v>6.6500000000000005E-3</c:v>
                </c:pt>
                <c:pt idx="1">
                  <c:v>6.6500000000000005E-3</c:v>
                </c:pt>
                <c:pt idx="2">
                  <c:v>6.6500000000000005E-3</c:v>
                </c:pt>
                <c:pt idx="3">
                  <c:v>6.6500000000000005E-3</c:v>
                </c:pt>
                <c:pt idx="4">
                  <c:v>6.6500000000000005E-3</c:v>
                </c:pt>
                <c:pt idx="5">
                  <c:v>6.6500000000000005E-3</c:v>
                </c:pt>
                <c:pt idx="6">
                  <c:v>6.6500000000000005E-3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5048-4B7F-8DFF-BDE6579260DB}"/>
            </c:ext>
          </c:extLst>
        </c:ser>
        <c:ser>
          <c:idx val="10"/>
          <c:order val="10"/>
          <c:tx>
            <c:strRef>
              <c:f>'Summary (2)'!$M$21</c:f>
              <c:strCache>
                <c:ptCount val="1"/>
                <c:pt idx="0">
                  <c:v>m3.2xlarge</c:v>
                </c:pt>
              </c:strCache>
            </c:strRef>
          </c:tx>
          <c:spPr>
            <a:ln w="22225" cap="rnd">
              <a:solidFill>
                <a:srgbClr val="E2EFDA"/>
              </a:solidFill>
              <a:prstDash val="dash"/>
            </a:ln>
            <a:effectLst/>
          </c:spPr>
          <c:marker>
            <c:symbol val="triangle"/>
            <c:size val="5"/>
            <c:spPr>
              <a:solidFill>
                <a:srgbClr val="70AD47"/>
              </a:solidFill>
              <a:ln w="22225">
                <a:solidFill>
                  <a:srgbClr val="70AD47"/>
                </a:solidFill>
                <a:prstDash val="dash"/>
              </a:ln>
              <a:effectLst>
                <a:glow rad="63500">
                  <a:schemeClr val="accent5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</c:numRef>
          </c:cat>
          <c:val>
            <c:numRef>
              <c:f>'Summary (2)'!$M$22:$M$28</c:f>
              <c:numCache>
                <c:formatCode>0.0000000000</c:formatCode>
                <c:ptCount val="7"/>
                <c:pt idx="0">
                  <c:v>6.6500000000000005E-3</c:v>
                </c:pt>
                <c:pt idx="1">
                  <c:v>6.6500000000000005E-3</c:v>
                </c:pt>
                <c:pt idx="2">
                  <c:v>6.6500000000000005E-3</c:v>
                </c:pt>
                <c:pt idx="3">
                  <c:v>6.6500000000000005E-3</c:v>
                </c:pt>
                <c:pt idx="4">
                  <c:v>6.6500000000000005E-3</c:v>
                </c:pt>
                <c:pt idx="5">
                  <c:v>6.6500000000000005E-3</c:v>
                </c:pt>
                <c:pt idx="6">
                  <c:v>6.6500000000000005E-3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5048-4B7F-8DFF-BDE6579260DB}"/>
            </c:ext>
          </c:extLst>
        </c:ser>
        <c:ser>
          <c:idx val="11"/>
          <c:order val="11"/>
          <c:tx>
            <c:strRef>
              <c:f>'Summary (2)'!$N$21</c:f>
              <c:strCache>
                <c:ptCount val="1"/>
                <c:pt idx="0">
                  <c:v>c3.8xlarge</c:v>
                </c:pt>
              </c:strCache>
            </c:strRef>
          </c:tx>
          <c:spPr>
            <a:ln w="22225" cap="rnd">
              <a:solidFill>
                <a:srgbClr val="4472C4"/>
              </a:solidFill>
              <a:prstDash val="dash"/>
            </a:ln>
            <a:effectLst/>
          </c:spPr>
          <c:marker>
            <c:symbol val="x"/>
            <c:size val="5"/>
            <c:spPr>
              <a:solidFill>
                <a:srgbClr val="D9E1F2"/>
              </a:solidFill>
              <a:ln w="22225">
                <a:solidFill>
                  <a:srgbClr val="D9E1F2"/>
                </a:solidFill>
                <a:prstDash val="dash"/>
              </a:ln>
              <a:effectLst>
                <a:glow rad="63500">
                  <a:schemeClr val="accent6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</c:numRef>
          </c:cat>
          <c:val>
            <c:numRef>
              <c:f>'Summary (2)'!$N$22:$N$28</c:f>
              <c:numCache>
                <c:formatCode>0.0000000000</c:formatCode>
                <c:ptCount val="7"/>
                <c:pt idx="0">
                  <c:v>4.6874999999999998E-3</c:v>
                </c:pt>
                <c:pt idx="1">
                  <c:v>4.6874999999999998E-3</c:v>
                </c:pt>
                <c:pt idx="2">
                  <c:v>4.6874999999999998E-3</c:v>
                </c:pt>
                <c:pt idx="3">
                  <c:v>4.6874999999999998E-3</c:v>
                </c:pt>
                <c:pt idx="4">
                  <c:v>4.6874999999999998E-3</c:v>
                </c:pt>
                <c:pt idx="5">
                  <c:v>4.6874999999999998E-3</c:v>
                </c:pt>
                <c:pt idx="6">
                  <c:v>4.6874999999999998E-3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048-4B7F-8DFF-BDE6579260DB}"/>
            </c:ext>
          </c:extLst>
        </c:ser>
        <c:ser>
          <c:idx val="12"/>
          <c:order val="12"/>
          <c:tx>
            <c:strRef>
              <c:f>'Summary (2)'!$O$21</c:f>
              <c:strCache>
                <c:ptCount val="1"/>
                <c:pt idx="0">
                  <c:v>g2.2xlarge</c:v>
                </c:pt>
              </c:strCache>
            </c:strRef>
          </c:tx>
          <c:spPr>
            <a:ln w="22225" cap="rnd">
              <a:solidFill>
                <a:srgbClr val="A5A5A5"/>
              </a:solidFill>
              <a:prstDash val="dash"/>
            </a:ln>
            <a:effectLst/>
          </c:spPr>
          <c:marker>
            <c:symbol val="star"/>
            <c:size val="5"/>
            <c:spPr>
              <a:solidFill>
                <a:srgbClr val="EDEDED"/>
              </a:solidFill>
              <a:ln w="22225">
                <a:solidFill>
                  <a:srgbClr val="EDEDED"/>
                </a:solidFill>
                <a:prstDash val="dash"/>
              </a:ln>
              <a:effectLst>
                <a:glow rad="63500">
                  <a:schemeClr val="accent1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</c:numRef>
          </c:cat>
          <c:val>
            <c:numRef>
              <c:f>'Summary (2)'!$O$22:$O$28</c:f>
              <c:numCache>
                <c:formatCode>0.0000000000</c:formatCode>
                <c:ptCount val="7"/>
                <c:pt idx="0">
                  <c:v>2.567546215831885E-4</c:v>
                </c:pt>
                <c:pt idx="1">
                  <c:v>2.567546215831885E-4</c:v>
                </c:pt>
                <c:pt idx="2">
                  <c:v>2.567546215831885E-4</c:v>
                </c:pt>
                <c:pt idx="3">
                  <c:v>2.567546215831885E-4</c:v>
                </c:pt>
                <c:pt idx="4">
                  <c:v>2.567546215831885E-4</c:v>
                </c:pt>
                <c:pt idx="5">
                  <c:v>2.567546215831885E-4</c:v>
                </c:pt>
                <c:pt idx="6">
                  <c:v>2.567546215831885E-4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5048-4B7F-8DFF-BDE6579260DB}"/>
            </c:ext>
          </c:extLst>
        </c:ser>
        <c:ser>
          <c:idx val="13"/>
          <c:order val="13"/>
          <c:tx>
            <c:strRef>
              <c:f>'Summary (2)'!$P$21</c:f>
              <c:strCache>
                <c:ptCount val="1"/>
                <c:pt idx="0">
                  <c:v>r3.4xlarge</c:v>
                </c:pt>
              </c:strCache>
            </c:strRef>
          </c:tx>
          <c:spPr>
            <a:ln w="22225" cap="rnd">
              <a:solidFill>
                <a:srgbClr val="F4B084"/>
              </a:solidFill>
              <a:prstDash val="dash"/>
            </a:ln>
            <a:effectLst/>
          </c:spPr>
          <c:marker>
            <c:symbol val="dot"/>
            <c:size val="5"/>
            <c:spPr>
              <a:solidFill>
                <a:srgbClr val="833C0C"/>
              </a:solidFill>
              <a:ln w="22225">
                <a:solidFill>
                  <a:srgbClr val="833C0C"/>
                </a:solidFill>
                <a:prstDash val="dash"/>
              </a:ln>
              <a:effectLst>
                <a:glow rad="63500">
                  <a:schemeClr val="accent2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</c:numRef>
          </c:cat>
          <c:val>
            <c:numRef>
              <c:f>'Summary (2)'!$P$22:$P$28</c:f>
              <c:numCache>
                <c:formatCode>0.0000000000</c:formatCode>
                <c:ptCount val="7"/>
                <c:pt idx="0">
                  <c:v>8.3125000000000004E-3</c:v>
                </c:pt>
                <c:pt idx="1">
                  <c:v>8.3125000000000004E-3</c:v>
                </c:pt>
                <c:pt idx="2">
                  <c:v>8.3125000000000004E-3</c:v>
                </c:pt>
                <c:pt idx="3">
                  <c:v>8.3125000000000004E-3</c:v>
                </c:pt>
                <c:pt idx="4">
                  <c:v>8.3125000000000004E-3</c:v>
                </c:pt>
                <c:pt idx="5">
                  <c:v>8.3125000000000004E-3</c:v>
                </c:pt>
                <c:pt idx="6">
                  <c:v>8.3125000000000004E-3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5048-4B7F-8DFF-BDE6579260DB}"/>
            </c:ext>
          </c:extLst>
        </c:ser>
        <c:ser>
          <c:idx val="14"/>
          <c:order val="14"/>
          <c:tx>
            <c:strRef>
              <c:f>'Summary (2)'!$Q$21</c:f>
              <c:strCache>
                <c:ptCount val="1"/>
                <c:pt idx="0">
                  <c:v>i2.8xlarge</c:v>
                </c:pt>
              </c:strCache>
            </c:strRef>
          </c:tx>
          <c:spPr>
            <a:ln w="22225" cap="rnd">
              <a:solidFill>
                <a:srgbClr val="FFFF00"/>
              </a:solidFill>
              <a:prstDash val="dash"/>
            </a:ln>
            <a:effectLst/>
          </c:spPr>
          <c:marker>
            <c:symbol val="dash"/>
            <c:size val="5"/>
            <c:spPr>
              <a:solidFill>
                <a:srgbClr val="FF0000"/>
              </a:solidFill>
              <a:ln w="22225">
                <a:solidFill>
                  <a:srgbClr val="FF0000"/>
                </a:solidFill>
                <a:prstDash val="dash"/>
              </a:ln>
              <a:effectLst>
                <a:glow rad="63500">
                  <a:schemeClr val="accent3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</c:numRef>
          </c:cat>
          <c:val>
            <c:numRef>
              <c:f>'Summary (2)'!$Q$22:$Q$28</c:f>
              <c:numCache>
                <c:formatCode>0.0000000000</c:formatCode>
                <c:ptCount val="7"/>
                <c:pt idx="0">
                  <c:v>2.1312500000000002E-2</c:v>
                </c:pt>
                <c:pt idx="1">
                  <c:v>2.1312500000000002E-2</c:v>
                </c:pt>
                <c:pt idx="2">
                  <c:v>2.1312500000000002E-2</c:v>
                </c:pt>
                <c:pt idx="3">
                  <c:v>2.1312500000000002E-2</c:v>
                </c:pt>
                <c:pt idx="4">
                  <c:v>2.1312500000000002E-2</c:v>
                </c:pt>
                <c:pt idx="5">
                  <c:v>2.1312500000000002E-2</c:v>
                </c:pt>
                <c:pt idx="6">
                  <c:v>2.1312500000000002E-2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5048-4B7F-8DFF-BDE6579260DB}"/>
            </c:ext>
          </c:extLst>
        </c:ser>
        <c:ser>
          <c:idx val="15"/>
          <c:order val="15"/>
          <c:tx>
            <c:strRef>
              <c:f>'Summary (2)'!$R$21</c:f>
              <c:strCache>
                <c:ptCount val="1"/>
                <c:pt idx="0">
                  <c:v>d2.8xlarge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dash"/>
            </a:ln>
            <a:effectLst/>
          </c:spPr>
          <c:marker>
            <c:symbol val="circle"/>
            <c:size val="5"/>
            <c:spPr>
              <a:solidFill>
                <a:srgbClr val="3FFFFF"/>
              </a:solidFill>
              <a:ln w="22225">
                <a:solidFill>
                  <a:srgbClr val="3FFFFF"/>
                </a:solidFill>
                <a:prstDash val="dash"/>
              </a:ln>
              <a:effectLst>
                <a:glow rad="63500">
                  <a:schemeClr val="accent4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(2)'!$A$22:$A$28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</c:numCache>
            </c:numRef>
          </c:cat>
          <c:val>
            <c:numRef>
              <c:f>'Summary (2)'!$R$22:$R$28</c:f>
              <c:numCache>
                <c:formatCode>0.0000000000</c:formatCode>
                <c:ptCount val="7"/>
                <c:pt idx="0">
                  <c:v>7.9861111111111105E-3</c:v>
                </c:pt>
                <c:pt idx="1">
                  <c:v>7.9861111111111105E-3</c:v>
                </c:pt>
                <c:pt idx="2">
                  <c:v>7.9861111111111105E-3</c:v>
                </c:pt>
                <c:pt idx="3">
                  <c:v>7.9861111111111105E-3</c:v>
                </c:pt>
                <c:pt idx="4">
                  <c:v>7.9861111111111105E-3</c:v>
                </c:pt>
                <c:pt idx="5">
                  <c:v>7.9861111111111105E-3</c:v>
                </c:pt>
                <c:pt idx="6">
                  <c:v>7.9861111111111105E-3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5048-4B7F-8DFF-BDE657926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854303"/>
        <c:axId val="848854719"/>
        <c:extLst/>
      </c:lineChart>
      <c:catAx>
        <c:axId val="84885430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854719"/>
        <c:crosses val="autoZero"/>
        <c:auto val="1"/>
        <c:lblAlgn val="ctr"/>
        <c:lblOffset val="100"/>
        <c:noMultiLvlLbl val="0"/>
      </c:catAx>
      <c:valAx>
        <c:axId val="84885471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 / hour / 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85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Private</a:t>
            </a:r>
            <a:r>
              <a:rPr lang="en-US" baseline="0"/>
              <a:t> Cloud </a:t>
            </a:r>
            <a:r>
              <a:rPr lang="en-US"/>
              <a:t>% utilization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'Summary (2)'!$C$92</c:f>
              <c:strCache>
                <c:ptCount val="1"/>
                <c:pt idx="0">
                  <c:v>m4.10xlarge</c:v>
                </c:pt>
              </c:strCache>
            </c:strRef>
          </c:tx>
          <c:spPr>
            <a:ln w="22225" cap="rnd">
              <a:solidFill>
                <a:srgbClr val="00CCFF"/>
              </a:solidFill>
              <a:prstDash val="solid"/>
            </a:ln>
            <a:effectLst/>
          </c:spPr>
          <c:marker>
            <c:symbol val="square"/>
            <c:size val="5"/>
            <c:spPr>
              <a:solidFill>
                <a:srgbClr val="BDD7EE"/>
              </a:solidFill>
              <a:ln w="22225">
                <a:solidFill>
                  <a:srgbClr val="BDD7EE"/>
                </a:solidFill>
                <a:prstDash val="solid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(2)'!$A$93:$A$103</c:f>
              <c:numCache>
                <c:formatCode>General</c:formatCode>
                <c:ptCount val="11"/>
                <c:pt idx="0">
                  <c:v>625</c:v>
                </c:pt>
                <c:pt idx="1">
                  <c:v>1000</c:v>
                </c:pt>
                <c:pt idx="2">
                  <c:v>1375</c:v>
                </c:pt>
                <c:pt idx="3">
                  <c:v>1600</c:v>
                </c:pt>
                <c:pt idx="4">
                  <c:v>1900</c:v>
                </c:pt>
                <c:pt idx="5">
                  <c:v>2865</c:v>
                </c:pt>
                <c:pt idx="6">
                  <c:v>3840</c:v>
                </c:pt>
                <c:pt idx="7">
                  <c:v>10000</c:v>
                </c:pt>
                <c:pt idx="8">
                  <c:v>55675</c:v>
                </c:pt>
                <c:pt idx="9">
                  <c:v>100000</c:v>
                </c:pt>
                <c:pt idx="10">
                  <c:v>1000000</c:v>
                </c:pt>
              </c:numCache>
            </c:numRef>
          </c:cat>
          <c:val>
            <c:numRef>
              <c:f>'Summary (2)'!$C$93:$C$103</c:f>
              <c:numCache>
                <c:formatCode>General</c:formatCode>
                <c:ptCount val="11"/>
                <c:pt idx="6">
                  <c:v>100</c:v>
                </c:pt>
                <c:pt idx="7">
                  <c:v>43.399463110827355</c:v>
                </c:pt>
                <c:pt idx="8">
                  <c:v>14.259780183645073</c:v>
                </c:pt>
                <c:pt idx="9">
                  <c:v>11.235292534321513</c:v>
                </c:pt>
                <c:pt idx="10">
                  <c:v>8.2155021826204013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3F5-4070-9A4E-86BAB884E36F}"/>
            </c:ext>
          </c:extLst>
        </c:ser>
        <c:ser>
          <c:idx val="1"/>
          <c:order val="1"/>
          <c:tx>
            <c:strRef>
              <c:f>'Summary (2)'!$D$92</c:f>
              <c:strCache>
                <c:ptCount val="1"/>
                <c:pt idx="0">
                  <c:v>m3.large</c:v>
                </c:pt>
              </c:strCache>
            </c:strRef>
          </c:tx>
          <c:spPr>
            <a:ln w="22225" cap="rnd">
              <a:solidFill>
                <a:srgbClr val="ED7D31"/>
              </a:solidFill>
              <a:prstDash val="solid"/>
            </a:ln>
            <a:effectLst/>
          </c:spPr>
          <c:marker>
            <c:symbol val="diamond"/>
            <c:size val="5"/>
            <c:spPr>
              <a:solidFill>
                <a:srgbClr val="F8CBAD"/>
              </a:solidFill>
              <a:ln w="22225">
                <a:solidFill>
                  <a:srgbClr val="F8CBAD"/>
                </a:solidFill>
                <a:prstDash val="solid"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(2)'!$A$93:$A$103</c:f>
              <c:numCache>
                <c:formatCode>General</c:formatCode>
                <c:ptCount val="11"/>
                <c:pt idx="0">
                  <c:v>625</c:v>
                </c:pt>
                <c:pt idx="1">
                  <c:v>1000</c:v>
                </c:pt>
                <c:pt idx="2">
                  <c:v>1375</c:v>
                </c:pt>
                <c:pt idx="3">
                  <c:v>1600</c:v>
                </c:pt>
                <c:pt idx="4">
                  <c:v>1900</c:v>
                </c:pt>
                <c:pt idx="5">
                  <c:v>2865</c:v>
                </c:pt>
                <c:pt idx="6">
                  <c:v>3840</c:v>
                </c:pt>
                <c:pt idx="7">
                  <c:v>10000</c:v>
                </c:pt>
                <c:pt idx="8">
                  <c:v>55675</c:v>
                </c:pt>
                <c:pt idx="9">
                  <c:v>100000</c:v>
                </c:pt>
                <c:pt idx="10">
                  <c:v>1000000</c:v>
                </c:pt>
              </c:numCache>
            </c:numRef>
          </c:cat>
          <c:val>
            <c:numRef>
              <c:f>'Summary (2)'!$D$93:$D$103</c:f>
              <c:numCache>
                <c:formatCode>General</c:formatCode>
                <c:ptCount val="11"/>
                <c:pt idx="4">
                  <c:v>100.62419471749644</c:v>
                </c:pt>
                <c:pt idx="5">
                  <c:v>67.91991621265953</c:v>
                </c:pt>
                <c:pt idx="6">
                  <c:v>52.09186130772806</c:v>
                </c:pt>
                <c:pt idx="7">
                  <c:v>23.11115061201745</c:v>
                </c:pt>
                <c:pt idx="8">
                  <c:v>7.9083660563838309</c:v>
                </c:pt>
                <c:pt idx="9">
                  <c:v>6.4979421310669876</c:v>
                </c:pt>
                <c:pt idx="10">
                  <c:v>5.0285063211698464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3F5-4070-9A4E-86BAB884E36F}"/>
            </c:ext>
          </c:extLst>
        </c:ser>
        <c:ser>
          <c:idx val="2"/>
          <c:order val="2"/>
          <c:tx>
            <c:strRef>
              <c:f>'Summary (2)'!$E$92</c:f>
              <c:strCache>
                <c:ptCount val="1"/>
                <c:pt idx="0">
                  <c:v>m3.2xlarge</c:v>
                </c:pt>
              </c:strCache>
            </c:strRef>
          </c:tx>
          <c:spPr>
            <a:ln w="22225" cap="rnd">
              <a:solidFill>
                <a:srgbClr val="E2EFDA"/>
              </a:solidFill>
              <a:prstDash val="solid"/>
            </a:ln>
            <a:effectLst/>
          </c:spPr>
          <c:marker>
            <c:symbol val="triangle"/>
            <c:size val="5"/>
            <c:spPr>
              <a:solidFill>
                <a:srgbClr val="70AD47"/>
              </a:solidFill>
              <a:ln w="22225">
                <a:solidFill>
                  <a:srgbClr val="70AD47"/>
                </a:solidFill>
                <a:prstDash val="solid"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(2)'!$A$93:$A$103</c:f>
              <c:numCache>
                <c:formatCode>General</c:formatCode>
                <c:ptCount val="11"/>
                <c:pt idx="0">
                  <c:v>625</c:v>
                </c:pt>
                <c:pt idx="1">
                  <c:v>1000</c:v>
                </c:pt>
                <c:pt idx="2">
                  <c:v>1375</c:v>
                </c:pt>
                <c:pt idx="3">
                  <c:v>1600</c:v>
                </c:pt>
                <c:pt idx="4">
                  <c:v>1900</c:v>
                </c:pt>
                <c:pt idx="5">
                  <c:v>2865</c:v>
                </c:pt>
                <c:pt idx="6">
                  <c:v>3840</c:v>
                </c:pt>
                <c:pt idx="7">
                  <c:v>10000</c:v>
                </c:pt>
                <c:pt idx="8">
                  <c:v>55675</c:v>
                </c:pt>
                <c:pt idx="9">
                  <c:v>100000</c:v>
                </c:pt>
                <c:pt idx="10">
                  <c:v>1000000</c:v>
                </c:pt>
              </c:numCache>
            </c:numRef>
          </c:cat>
          <c:val>
            <c:numRef>
              <c:f>'Summary (2)'!$E$93:$E$103</c:f>
              <c:numCache>
                <c:formatCode>General</c:formatCode>
                <c:ptCount val="11"/>
                <c:pt idx="4">
                  <c:v>99.519536993954389</c:v>
                </c:pt>
                <c:pt idx="5">
                  <c:v>67.863427184091421</c:v>
                </c:pt>
                <c:pt idx="6">
                  <c:v>52.035372279159922</c:v>
                </c:pt>
                <c:pt idx="7">
                  <c:v>23.039994438450996</c:v>
                </c:pt>
                <c:pt idx="8">
                  <c:v>7.8477449303306006</c:v>
                </c:pt>
                <c:pt idx="9">
                  <c:v>6.4352493105710593</c:v>
                </c:pt>
                <c:pt idx="10">
                  <c:v>4.9535932010749768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3F5-4070-9A4E-86BAB884E36F}"/>
            </c:ext>
          </c:extLst>
        </c:ser>
        <c:ser>
          <c:idx val="3"/>
          <c:order val="3"/>
          <c:tx>
            <c:strRef>
              <c:f>'Summary (2)'!$F$92</c:f>
              <c:strCache>
                <c:ptCount val="1"/>
                <c:pt idx="0">
                  <c:v>c3.8xlarge</c:v>
                </c:pt>
              </c:strCache>
            </c:strRef>
          </c:tx>
          <c:spPr>
            <a:ln w="22225" cap="rnd">
              <a:solidFill>
                <a:srgbClr val="4472C4"/>
              </a:solidFill>
              <a:prstDash val="solid"/>
            </a:ln>
            <a:effectLst/>
          </c:spPr>
          <c:marker>
            <c:symbol val="x"/>
            <c:size val="5"/>
            <c:spPr>
              <a:solidFill>
                <a:srgbClr val="D9E1F2"/>
              </a:solidFill>
              <a:ln w="22225">
                <a:solidFill>
                  <a:srgbClr val="D9E1F2"/>
                </a:solidFill>
                <a:prstDash val="solid"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(2)'!$A$93:$A$103</c:f>
              <c:numCache>
                <c:formatCode>General</c:formatCode>
                <c:ptCount val="11"/>
                <c:pt idx="0">
                  <c:v>625</c:v>
                </c:pt>
                <c:pt idx="1">
                  <c:v>1000</c:v>
                </c:pt>
                <c:pt idx="2">
                  <c:v>1375</c:v>
                </c:pt>
                <c:pt idx="3">
                  <c:v>1600</c:v>
                </c:pt>
                <c:pt idx="4">
                  <c:v>1900</c:v>
                </c:pt>
                <c:pt idx="5">
                  <c:v>2865</c:v>
                </c:pt>
                <c:pt idx="6">
                  <c:v>3840</c:v>
                </c:pt>
                <c:pt idx="7">
                  <c:v>10000</c:v>
                </c:pt>
                <c:pt idx="8">
                  <c:v>55675</c:v>
                </c:pt>
                <c:pt idx="9">
                  <c:v>100000</c:v>
                </c:pt>
                <c:pt idx="10">
                  <c:v>1000000</c:v>
                </c:pt>
              </c:numCache>
            </c:numRef>
          </c:cat>
          <c:val>
            <c:numRef>
              <c:f>'Summary (2)'!$F$93:$F$103</c:f>
              <c:numCache>
                <c:formatCode>General</c:formatCode>
                <c:ptCount val="11"/>
                <c:pt idx="5">
                  <c:v>102.55270549188096</c:v>
                </c:pt>
                <c:pt idx="6">
                  <c:v>77.947274685123816</c:v>
                </c:pt>
                <c:pt idx="7">
                  <c:v>38.12617327690478</c:v>
                </c:pt>
                <c:pt idx="8">
                  <c:v>17.034201227292346</c:v>
                </c:pt>
                <c:pt idx="9">
                  <c:v>14.99216700366711</c:v>
                </c:pt>
                <c:pt idx="10">
                  <c:v>13.219198404711086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3F5-4070-9A4E-86BAB884E36F}"/>
            </c:ext>
          </c:extLst>
        </c:ser>
        <c:ser>
          <c:idx val="4"/>
          <c:order val="4"/>
          <c:tx>
            <c:strRef>
              <c:f>'Summary (2)'!$G$92</c:f>
              <c:strCache>
                <c:ptCount val="1"/>
                <c:pt idx="0">
                  <c:v>g2.2xlarge</c:v>
                </c:pt>
              </c:strCache>
            </c:strRef>
          </c:tx>
          <c:spPr>
            <a:ln w="22225" cap="rnd">
              <a:solidFill>
                <a:srgbClr val="A5A5A5"/>
              </a:solidFill>
              <a:prstDash val="solid"/>
            </a:ln>
            <a:effectLst/>
          </c:spPr>
          <c:marker>
            <c:symbol val="star"/>
            <c:size val="5"/>
            <c:spPr>
              <a:solidFill>
                <a:srgbClr val="EDEDED"/>
              </a:solidFill>
              <a:ln w="22225">
                <a:solidFill>
                  <a:srgbClr val="EDEDED"/>
                </a:solidFill>
                <a:prstDash val="solid"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(2)'!$A$93:$A$103</c:f>
              <c:numCache>
                <c:formatCode>General</c:formatCode>
                <c:ptCount val="11"/>
                <c:pt idx="0">
                  <c:v>625</c:v>
                </c:pt>
                <c:pt idx="1">
                  <c:v>1000</c:v>
                </c:pt>
                <c:pt idx="2">
                  <c:v>1375</c:v>
                </c:pt>
                <c:pt idx="3">
                  <c:v>1600</c:v>
                </c:pt>
                <c:pt idx="4">
                  <c:v>1900</c:v>
                </c:pt>
                <c:pt idx="5">
                  <c:v>2865</c:v>
                </c:pt>
                <c:pt idx="6">
                  <c:v>3840</c:v>
                </c:pt>
                <c:pt idx="7">
                  <c:v>10000</c:v>
                </c:pt>
                <c:pt idx="8">
                  <c:v>55675</c:v>
                </c:pt>
                <c:pt idx="9">
                  <c:v>100000</c:v>
                </c:pt>
                <c:pt idx="10">
                  <c:v>1000000</c:v>
                </c:pt>
              </c:numCache>
            </c:numRef>
          </c:cat>
          <c:val>
            <c:numRef>
              <c:f>'Summary (2)'!$G$93:$G$103</c:f>
              <c:numCache>
                <c:formatCode>General</c:formatCode>
                <c:ptCount val="11"/>
                <c:pt idx="8">
                  <c:v>101.22816461012518</c:v>
                </c:pt>
                <c:pt idx="9">
                  <c:v>62.454542182716885</c:v>
                </c:pt>
                <c:pt idx="10">
                  <c:v>19.800711055708319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C3F5-4070-9A4E-86BAB884E36F}"/>
            </c:ext>
          </c:extLst>
        </c:ser>
        <c:ser>
          <c:idx val="5"/>
          <c:order val="5"/>
          <c:tx>
            <c:strRef>
              <c:f>'Summary (2)'!$H$92</c:f>
              <c:strCache>
                <c:ptCount val="1"/>
                <c:pt idx="0">
                  <c:v>r3.4xlarge</c:v>
                </c:pt>
              </c:strCache>
            </c:strRef>
          </c:tx>
          <c:spPr>
            <a:ln w="22225" cap="rnd">
              <a:solidFill>
                <a:srgbClr val="F4B084"/>
              </a:solidFill>
              <a:prstDash val="solid"/>
            </a:ln>
            <a:effectLst/>
          </c:spPr>
          <c:marker>
            <c:symbol val="dot"/>
            <c:size val="5"/>
            <c:spPr>
              <a:solidFill>
                <a:srgbClr val="833C0C"/>
              </a:solidFill>
              <a:ln w="22225">
                <a:solidFill>
                  <a:srgbClr val="833C0C"/>
                </a:solidFill>
                <a:prstDash val="solid"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(2)'!$A$93:$A$103</c:f>
              <c:numCache>
                <c:formatCode>General</c:formatCode>
                <c:ptCount val="11"/>
                <c:pt idx="0">
                  <c:v>625</c:v>
                </c:pt>
                <c:pt idx="1">
                  <c:v>1000</c:v>
                </c:pt>
                <c:pt idx="2">
                  <c:v>1375</c:v>
                </c:pt>
                <c:pt idx="3">
                  <c:v>1600</c:v>
                </c:pt>
                <c:pt idx="4">
                  <c:v>1900</c:v>
                </c:pt>
                <c:pt idx="5">
                  <c:v>2865</c:v>
                </c:pt>
                <c:pt idx="6">
                  <c:v>3840</c:v>
                </c:pt>
                <c:pt idx="7">
                  <c:v>10000</c:v>
                </c:pt>
                <c:pt idx="8">
                  <c:v>55675</c:v>
                </c:pt>
                <c:pt idx="9">
                  <c:v>100000</c:v>
                </c:pt>
                <c:pt idx="10">
                  <c:v>1000000</c:v>
                </c:pt>
              </c:numCache>
            </c:numRef>
          </c:cat>
          <c:val>
            <c:numRef>
              <c:f>'Summary (2)'!$H$93:$H$103</c:f>
              <c:numCache>
                <c:formatCode>General</c:formatCode>
                <c:ptCount val="11"/>
                <c:pt idx="3">
                  <c:v>96.509487382201371</c:v>
                </c:pt>
                <c:pt idx="4">
                  <c:v>80.424572818501147</c:v>
                </c:pt>
                <c:pt idx="5">
                  <c:v>55.099684970610774</c:v>
                </c:pt>
                <c:pt idx="6">
                  <c:v>42.437241046665584</c:v>
                </c:pt>
                <c:pt idx="7">
                  <c:v>19.13317420099737</c:v>
                </c:pt>
                <c:pt idx="8">
                  <c:v>7.0838334896140527</c:v>
                </c:pt>
                <c:pt idx="9">
                  <c:v>5.9590127138217941</c:v>
                </c:pt>
                <c:pt idx="10">
                  <c:v>4.7618613076832288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C3F5-4070-9A4E-86BAB884E36F}"/>
            </c:ext>
          </c:extLst>
        </c:ser>
        <c:ser>
          <c:idx val="6"/>
          <c:order val="6"/>
          <c:tx>
            <c:strRef>
              <c:f>'Summary (2)'!$I$92</c:f>
              <c:strCache>
                <c:ptCount val="1"/>
                <c:pt idx="0">
                  <c:v>i2.8xlarge</c:v>
                </c:pt>
              </c:strCache>
            </c:strRef>
          </c:tx>
          <c:spPr>
            <a:ln w="22225" cap="rnd">
              <a:solidFill>
                <a:srgbClr val="FFFF00"/>
              </a:solidFill>
              <a:prstDash val="solid"/>
            </a:ln>
            <a:effectLst/>
          </c:spPr>
          <c:marker>
            <c:symbol val="dash"/>
            <c:size val="5"/>
            <c:spPr>
              <a:solidFill>
                <a:srgbClr val="FF0000"/>
              </a:solidFill>
              <a:ln w="22225">
                <a:solidFill>
                  <a:srgbClr val="FF0000"/>
                </a:solidFill>
                <a:prstDash val="solid"/>
              </a:ln>
              <a:effectLst>
                <a:glow rad="63500">
                  <a:schemeClr val="accent1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(2)'!$A$93:$A$103</c:f>
              <c:numCache>
                <c:formatCode>General</c:formatCode>
                <c:ptCount val="11"/>
                <c:pt idx="0">
                  <c:v>625</c:v>
                </c:pt>
                <c:pt idx="1">
                  <c:v>1000</c:v>
                </c:pt>
                <c:pt idx="2">
                  <c:v>1375</c:v>
                </c:pt>
                <c:pt idx="3">
                  <c:v>1600</c:v>
                </c:pt>
                <c:pt idx="4">
                  <c:v>1900</c:v>
                </c:pt>
                <c:pt idx="5">
                  <c:v>2865</c:v>
                </c:pt>
                <c:pt idx="6">
                  <c:v>3840</c:v>
                </c:pt>
                <c:pt idx="7">
                  <c:v>10000</c:v>
                </c:pt>
                <c:pt idx="8">
                  <c:v>55675</c:v>
                </c:pt>
                <c:pt idx="9">
                  <c:v>100000</c:v>
                </c:pt>
                <c:pt idx="10">
                  <c:v>1000000</c:v>
                </c:pt>
              </c:numCache>
            </c:numRef>
          </c:cat>
          <c:val>
            <c:numRef>
              <c:f>'Summary (2)'!$I$93:$I$103</c:f>
              <c:numCache>
                <c:formatCode>General</c:formatCode>
                <c:ptCount val="11"/>
                <c:pt idx="0">
                  <c:v>100</c:v>
                </c:pt>
                <c:pt idx="1">
                  <c:v>48.448359313018543</c:v>
                </c:pt>
                <c:pt idx="2">
                  <c:v>38.758687450414833</c:v>
                </c:pt>
                <c:pt idx="3">
                  <c:v>38.758687450414833</c:v>
                </c:pt>
                <c:pt idx="4">
                  <c:v>32.298906208679021</c:v>
                </c:pt>
                <c:pt idx="5">
                  <c:v>22.421457282668992</c:v>
                </c:pt>
                <c:pt idx="6">
                  <c:v>17.482732819663973</c:v>
                </c:pt>
                <c:pt idx="7">
                  <c:v>8.3094597489866135</c:v>
                </c:pt>
                <c:pt idx="8">
                  <c:v>3.6964457383061262</c:v>
                </c:pt>
                <c:pt idx="9">
                  <c:v>3.2609736266418952</c:v>
                </c:pt>
                <c:pt idx="10">
                  <c:v>2.7982551702260916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C3F5-4070-9A4E-86BAB884E36F}"/>
            </c:ext>
          </c:extLst>
        </c:ser>
        <c:ser>
          <c:idx val="7"/>
          <c:order val="7"/>
          <c:tx>
            <c:strRef>
              <c:f>'Summary (2)'!$J$92</c:f>
              <c:strCache>
                <c:ptCount val="1"/>
                <c:pt idx="0">
                  <c:v>d2.8xlarge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3FFFFF"/>
              </a:solidFill>
              <a:ln w="22225">
                <a:solidFill>
                  <a:srgbClr val="3FFFFF"/>
                </a:solidFill>
                <a:prstDash val="solid"/>
              </a:ln>
              <a:effectLst>
                <a:glow rad="63500">
                  <a:schemeClr val="accent2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'Summary (2)'!$A$93:$A$103</c:f>
              <c:numCache>
                <c:formatCode>General</c:formatCode>
                <c:ptCount val="11"/>
                <c:pt idx="0">
                  <c:v>625</c:v>
                </c:pt>
                <c:pt idx="1">
                  <c:v>1000</c:v>
                </c:pt>
                <c:pt idx="2">
                  <c:v>1375</c:v>
                </c:pt>
                <c:pt idx="3">
                  <c:v>1600</c:v>
                </c:pt>
                <c:pt idx="4">
                  <c:v>1900</c:v>
                </c:pt>
                <c:pt idx="5">
                  <c:v>2865</c:v>
                </c:pt>
                <c:pt idx="6">
                  <c:v>3840</c:v>
                </c:pt>
                <c:pt idx="7">
                  <c:v>10000</c:v>
                </c:pt>
                <c:pt idx="8">
                  <c:v>55675</c:v>
                </c:pt>
                <c:pt idx="9">
                  <c:v>100000</c:v>
                </c:pt>
                <c:pt idx="10">
                  <c:v>1000000</c:v>
                </c:pt>
              </c:numCache>
            </c:numRef>
          </c:cat>
          <c:val>
            <c:numRef>
              <c:f>'Summary (2)'!$J$93:$J$103</c:f>
              <c:numCache>
                <c:formatCode>General</c:formatCode>
                <c:ptCount val="11"/>
                <c:pt idx="2">
                  <c:v>100</c:v>
                </c:pt>
                <c:pt idx="3">
                  <c:v>78.303563055471784</c:v>
                </c:pt>
                <c:pt idx="4">
                  <c:v>78.303563055471784</c:v>
                </c:pt>
                <c:pt idx="5">
                  <c:v>49.014779718346382</c:v>
                </c:pt>
                <c:pt idx="6">
                  <c:v>41.69258388406503</c:v>
                </c:pt>
                <c:pt idx="7">
                  <c:v>19.72599638122098</c:v>
                </c:pt>
                <c:pt idx="8">
                  <c:v>7.8081333483056303</c:v>
                </c:pt>
                <c:pt idx="9">
                  <c:v>6.6200607226507238</c:v>
                </c:pt>
                <c:pt idx="10">
                  <c:v>5.4145734796922529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C3F5-4070-9A4E-86BAB884E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64687"/>
        <c:axId val="1930365103"/>
      </c:lineChart>
      <c:catAx>
        <c:axId val="19303646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Giga 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365103"/>
        <c:crosses val="autoZero"/>
        <c:auto val="1"/>
        <c:lblAlgn val="ctr"/>
        <c:lblOffset val="100"/>
        <c:noMultiLvlLbl val="0"/>
      </c:catAx>
      <c:valAx>
        <c:axId val="19303651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Utilization (in 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364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85724</xdr:colOff>
      <xdr:row>29</xdr:row>
      <xdr:rowOff>147635</xdr:rowOff>
    </xdr:from>
    <xdr:to>
      <xdr:col>13</xdr:col>
      <xdr:colOff>247650</xdr:colOff>
      <xdr:row>54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35</xdr:row>
          <xdr:rowOff>9525</xdr:rowOff>
        </xdr:from>
        <xdr:to>
          <xdr:col>3</xdr:col>
          <xdr:colOff>257175</xdr:colOff>
          <xdr:row>36</xdr:row>
          <xdr:rowOff>142875</xdr:rowOff>
        </xdr:to>
        <xdr:sp macro="" textlink="">
          <xdr:nvSpPr>
            <xdr:cNvPr id="13314" name="cmdRefresh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438150</xdr:colOff>
      <xdr:row>68</xdr:row>
      <xdr:rowOff>71437</xdr:rowOff>
    </xdr:from>
    <xdr:to>
      <xdr:col>13</xdr:col>
      <xdr:colOff>485775</xdr:colOff>
      <xdr:row>82</xdr:row>
      <xdr:rowOff>147637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85724</xdr:colOff>
      <xdr:row>29</xdr:row>
      <xdr:rowOff>147635</xdr:rowOff>
    </xdr:from>
    <xdr:to>
      <xdr:col>13</xdr:col>
      <xdr:colOff>247650</xdr:colOff>
      <xdr:row>54</xdr:row>
      <xdr:rowOff>142874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35</xdr:row>
          <xdr:rowOff>9525</xdr:rowOff>
        </xdr:from>
        <xdr:to>
          <xdr:col>3</xdr:col>
          <xdr:colOff>238125</xdr:colOff>
          <xdr:row>36</xdr:row>
          <xdr:rowOff>142875</xdr:rowOff>
        </xdr:to>
        <xdr:sp macro="" textlink="">
          <xdr:nvSpPr>
            <xdr:cNvPr id="27649" name="cmdRefresh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400049</xdr:colOff>
      <xdr:row>103</xdr:row>
      <xdr:rowOff>33337</xdr:rowOff>
    </xdr:from>
    <xdr:to>
      <xdr:col>14</xdr:col>
      <xdr:colOff>209549</xdr:colOff>
      <xdr:row>124</xdr:row>
      <xdr:rowOff>104775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68"/>
  <sheetViews>
    <sheetView workbookViewId="0">
      <selection activeCell="A13" sqref="A13"/>
    </sheetView>
  </sheetViews>
  <sheetFormatPr defaultRowHeight="15" x14ac:dyDescent="0.25"/>
  <cols>
    <col min="1" max="1" width="8" bestFit="1" customWidth="1"/>
    <col min="2" max="2" width="10.140625" bestFit="1" customWidth="1"/>
    <col min="3" max="3" width="14.42578125" bestFit="1" customWidth="1"/>
    <col min="4" max="4" width="12.5703125" bestFit="1" customWidth="1"/>
    <col min="5" max="5" width="13.42578125" bestFit="1" customWidth="1"/>
    <col min="6" max="9" width="12.5703125" bestFit="1" customWidth="1"/>
    <col min="10" max="10" width="12.7109375" bestFit="1" customWidth="1"/>
    <col min="11" max="18" width="12.5703125" bestFit="1" customWidth="1"/>
  </cols>
  <sheetData>
    <row r="1" spans="1:18" x14ac:dyDescent="0.25">
      <c r="A1" t="s">
        <v>97</v>
      </c>
      <c r="C1" t="s">
        <v>111</v>
      </c>
      <c r="D1" t="s">
        <v>112</v>
      </c>
      <c r="E1" t="s">
        <v>113</v>
      </c>
      <c r="F1" t="s">
        <v>114</v>
      </c>
      <c r="G1" t="s">
        <v>115</v>
      </c>
      <c r="H1" t="s">
        <v>116</v>
      </c>
      <c r="I1" t="s">
        <v>117</v>
      </c>
      <c r="J1" t="s">
        <v>118</v>
      </c>
      <c r="K1" t="s">
        <v>0</v>
      </c>
      <c r="L1" t="s">
        <v>1</v>
      </c>
      <c r="M1" t="s">
        <v>2</v>
      </c>
      <c r="N1" t="s">
        <v>3</v>
      </c>
      <c r="O1" t="s">
        <v>4</v>
      </c>
      <c r="P1" t="s">
        <v>5</v>
      </c>
      <c r="Q1" t="s">
        <v>6</v>
      </c>
      <c r="R1" t="s">
        <v>7</v>
      </c>
    </row>
    <row r="2" spans="1:18" x14ac:dyDescent="0.25">
      <c r="A2">
        <v>1</v>
      </c>
      <c r="B2" t="s">
        <v>92</v>
      </c>
      <c r="C2">
        <v>1.6013578494850616E-2</v>
      </c>
      <c r="D2">
        <v>1.293719963756541E-2</v>
      </c>
      <c r="E2">
        <v>1.2933443117165631E-2</v>
      </c>
      <c r="F2">
        <v>2.294037800620773E-2</v>
      </c>
      <c r="G2">
        <v>8.1032801176568058E-4</v>
      </c>
      <c r="H2">
        <v>1.3000686522605574E-2</v>
      </c>
      <c r="I2">
        <v>1.3199098292792383E-2</v>
      </c>
      <c r="J2">
        <v>1.6153725106391476E-2</v>
      </c>
      <c r="K2">
        <v>3.1171875000000002E-3</v>
      </c>
      <c r="L2">
        <v>6.6500000000000005E-3</v>
      </c>
      <c r="M2">
        <v>6.6500000000000005E-3</v>
      </c>
      <c r="N2">
        <v>4.6874999999999998E-3</v>
      </c>
      <c r="O2">
        <v>2.567546215831885E-4</v>
      </c>
      <c r="P2">
        <v>8.3125000000000004E-3</v>
      </c>
      <c r="Q2">
        <v>2.1312500000000002E-2</v>
      </c>
      <c r="R2">
        <v>7.9861111111111105E-3</v>
      </c>
    </row>
    <row r="3" spans="1:18" x14ac:dyDescent="0.25">
      <c r="A3">
        <v>10</v>
      </c>
      <c r="B3" t="s">
        <v>119</v>
      </c>
      <c r="C3">
        <v>1.6013578494850616E-2</v>
      </c>
      <c r="D3">
        <v>1.293719963756541E-2</v>
      </c>
      <c r="E3">
        <v>1.2933443117165631E-2</v>
      </c>
      <c r="F3">
        <v>2.294037800620773E-2</v>
      </c>
      <c r="G3">
        <v>8.1032801176568058E-4</v>
      </c>
      <c r="H3">
        <v>1.3000686522605574E-2</v>
      </c>
      <c r="I3">
        <v>1.3199098292792383E-2</v>
      </c>
      <c r="J3">
        <v>1.6153725106391476E-2</v>
      </c>
      <c r="K3">
        <v>3.1171875000000002E-3</v>
      </c>
      <c r="L3">
        <v>6.6500000000000005E-3</v>
      </c>
      <c r="M3">
        <v>6.6500000000000005E-3</v>
      </c>
      <c r="N3">
        <v>4.6874999999999998E-3</v>
      </c>
      <c r="O3">
        <v>2.567546215831885E-4</v>
      </c>
      <c r="P3">
        <v>8.3125000000000004E-3</v>
      </c>
      <c r="Q3">
        <v>2.1312500000000002E-2</v>
      </c>
      <c r="R3">
        <v>7.9861111111111105E-3</v>
      </c>
    </row>
    <row r="4" spans="1:18" x14ac:dyDescent="0.25">
      <c r="A4">
        <v>100</v>
      </c>
      <c r="B4" t="s">
        <v>93</v>
      </c>
      <c r="C4">
        <v>1.6013578494850616E-2</v>
      </c>
      <c r="D4">
        <v>1.293719963756541E-2</v>
      </c>
      <c r="E4">
        <v>1.2933443117165631E-2</v>
      </c>
      <c r="F4">
        <v>2.294037800620773E-2</v>
      </c>
      <c r="G4">
        <v>8.1032801176568058E-4</v>
      </c>
      <c r="H4">
        <v>1.3000686522605574E-2</v>
      </c>
      <c r="I4">
        <v>1.3199098292792383E-2</v>
      </c>
      <c r="J4">
        <v>1.6153725106391476E-2</v>
      </c>
      <c r="K4">
        <v>3.1171875000000002E-3</v>
      </c>
      <c r="L4">
        <v>6.6500000000000005E-3</v>
      </c>
      <c r="M4">
        <v>6.6500000000000005E-3</v>
      </c>
      <c r="N4">
        <v>4.6874999999999998E-3</v>
      </c>
      <c r="O4">
        <v>2.567546215831885E-4</v>
      </c>
      <c r="P4">
        <v>8.3125000000000004E-3</v>
      </c>
      <c r="Q4">
        <v>2.1312500000000002E-2</v>
      </c>
      <c r="R4">
        <v>7.9861111111111105E-3</v>
      </c>
    </row>
    <row r="5" spans="1:18" x14ac:dyDescent="0.25">
      <c r="A5">
        <v>1000</v>
      </c>
      <c r="B5" t="s">
        <v>120</v>
      </c>
      <c r="C5">
        <v>8.1193361110160345E-3</v>
      </c>
      <c r="D5">
        <v>6.6218057304977479E-3</v>
      </c>
      <c r="E5">
        <v>6.6180492100979676E-3</v>
      </c>
      <c r="F5">
        <v>7.9037258465228175E-3</v>
      </c>
      <c r="G5">
        <v>8.1032801176568058E-4</v>
      </c>
      <c r="H5">
        <v>6.6852926155379086E-3</v>
      </c>
      <c r="I5">
        <v>6.8837043857247178E-3</v>
      </c>
      <c r="J5">
        <v>8.2594827225568931E-3</v>
      </c>
      <c r="K5">
        <v>3.1171875000000002E-3</v>
      </c>
      <c r="L5">
        <v>6.6500000000000005E-3</v>
      </c>
      <c r="M5">
        <v>6.6500000000000005E-3</v>
      </c>
      <c r="N5">
        <v>4.6874999999999998E-3</v>
      </c>
      <c r="O5">
        <v>2.567546215831885E-4</v>
      </c>
      <c r="P5">
        <v>8.3125000000000004E-3</v>
      </c>
      <c r="Q5">
        <v>2.1312500000000002E-2</v>
      </c>
      <c r="R5">
        <v>7.9861111111111105E-3</v>
      </c>
    </row>
    <row r="6" spans="1:18" x14ac:dyDescent="0.25">
      <c r="A6">
        <v>10000</v>
      </c>
      <c r="B6" t="s">
        <v>94</v>
      </c>
      <c r="C6">
        <v>1.3528426391578217E-3</v>
      </c>
      <c r="D6">
        <v>1.4553896928969322E-3</v>
      </c>
      <c r="E6">
        <v>1.450908740678969E-3</v>
      </c>
      <c r="F6">
        <v>1.1914429149032743E-3</v>
      </c>
      <c r="G6">
        <v>8.1032801176568058E-4</v>
      </c>
      <c r="H6">
        <v>1.5181521461189109E-3</v>
      </c>
      <c r="I6">
        <v>1.7172883481239003E-3</v>
      </c>
      <c r="J6">
        <v>1.4178059899002575E-3</v>
      </c>
      <c r="K6">
        <v>3.1171875000000002E-3</v>
      </c>
      <c r="L6">
        <v>6.6500000000000005E-3</v>
      </c>
      <c r="M6">
        <v>6.6500000000000005E-3</v>
      </c>
      <c r="N6">
        <v>4.6874999999999998E-3</v>
      </c>
      <c r="O6">
        <v>2.567546215831885E-4</v>
      </c>
      <c r="P6">
        <v>8.3125000000000004E-3</v>
      </c>
      <c r="Q6">
        <v>2.1312500000000002E-2</v>
      </c>
      <c r="R6">
        <v>7.9861111111111105E-3</v>
      </c>
    </row>
    <row r="7" spans="1:18" x14ac:dyDescent="0.25">
      <c r="A7">
        <v>100000</v>
      </c>
      <c r="B7" t="s">
        <v>95</v>
      </c>
      <c r="C7">
        <v>3.5022513446830342E-4</v>
      </c>
      <c r="D7">
        <v>4.2868368225789153E-4</v>
      </c>
      <c r="E7">
        <v>4.2454769757239633E-4</v>
      </c>
      <c r="F7">
        <v>4.6850521886459726E-4</v>
      </c>
      <c r="G7">
        <v>1.4785962841104474E-4</v>
      </c>
      <c r="H7">
        <v>4.9141163872662365E-4</v>
      </c>
      <c r="I7">
        <v>6.9058233748485996E-4</v>
      </c>
      <c r="J7">
        <v>4.7581686444052068E-4</v>
      </c>
      <c r="K7">
        <v>3.1171875000000002E-3</v>
      </c>
      <c r="L7">
        <v>6.6500000000000005E-3</v>
      </c>
      <c r="M7">
        <v>6.6500000000000005E-3</v>
      </c>
      <c r="N7">
        <v>4.6874999999999998E-3</v>
      </c>
      <c r="O7">
        <v>2.567546215831885E-4</v>
      </c>
      <c r="P7">
        <v>8.3125000000000004E-3</v>
      </c>
      <c r="Q7">
        <v>2.1312500000000002E-2</v>
      </c>
      <c r="R7">
        <v>7.9861111111111105E-3</v>
      </c>
    </row>
    <row r="8" spans="1:18" x14ac:dyDescent="0.25">
      <c r="A8">
        <v>1000000</v>
      </c>
      <c r="B8" t="s">
        <v>121</v>
      </c>
      <c r="C8">
        <v>2.5609260709887033E-4</v>
      </c>
      <c r="D8">
        <v>3.3428869797444297E-4</v>
      </c>
      <c r="E8">
        <v>3.2930856912936457E-4</v>
      </c>
      <c r="F8">
        <v>4.1309995014722142E-4</v>
      </c>
      <c r="G8">
        <v>4.9221593185751897E-5</v>
      </c>
      <c r="H8">
        <v>3.957030962103811E-4</v>
      </c>
      <c r="I8">
        <v>5.9618735320141145E-4</v>
      </c>
      <c r="J8">
        <v>3.8917246885288064E-4</v>
      </c>
      <c r="K8">
        <v>3.1171875000000002E-3</v>
      </c>
      <c r="L8">
        <v>6.6500000000000005E-3</v>
      </c>
      <c r="M8">
        <v>6.6500000000000005E-3</v>
      </c>
      <c r="N8">
        <v>4.6874999999999998E-3</v>
      </c>
      <c r="O8">
        <v>2.567546215831885E-4</v>
      </c>
      <c r="P8">
        <v>8.3125000000000004E-3</v>
      </c>
      <c r="Q8">
        <v>2.1312500000000002E-2</v>
      </c>
      <c r="R8">
        <v>7.9861111111111105E-3</v>
      </c>
    </row>
    <row r="10" spans="1:18" x14ac:dyDescent="0.25">
      <c r="A10" t="s">
        <v>97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H10" t="s">
        <v>116</v>
      </c>
      <c r="I10" t="s">
        <v>117</v>
      </c>
      <c r="J10" t="s">
        <v>118</v>
      </c>
      <c r="K10" t="s">
        <v>0</v>
      </c>
      <c r="L10" t="s">
        <v>1</v>
      </c>
      <c r="M10" t="s">
        <v>2</v>
      </c>
      <c r="N10" t="s">
        <v>3</v>
      </c>
      <c r="O10" t="s">
        <v>4</v>
      </c>
      <c r="P10" t="s">
        <v>5</v>
      </c>
      <c r="Q10" t="s">
        <v>6</v>
      </c>
      <c r="R10" t="s">
        <v>7</v>
      </c>
    </row>
    <row r="11" spans="1:18" x14ac:dyDescent="0.25">
      <c r="A11">
        <v>1</v>
      </c>
      <c r="B11" t="s">
        <v>92</v>
      </c>
      <c r="C11">
        <f>C22-C2</f>
        <v>0</v>
      </c>
      <c r="D11">
        <f t="shared" ref="D11:R11" si="0">D22-D2</f>
        <v>0</v>
      </c>
      <c r="E11">
        <f t="shared" si="0"/>
        <v>0</v>
      </c>
      <c r="F11">
        <f t="shared" si="0"/>
        <v>0</v>
      </c>
      <c r="G11">
        <f t="shared" si="0"/>
        <v>0</v>
      </c>
      <c r="H11">
        <f t="shared" si="0"/>
        <v>0</v>
      </c>
      <c r="I11">
        <f t="shared" si="0"/>
        <v>0</v>
      </c>
      <c r="J11">
        <f t="shared" si="0"/>
        <v>0</v>
      </c>
      <c r="K11">
        <f t="shared" si="0"/>
        <v>0</v>
      </c>
      <c r="L11">
        <f t="shared" si="0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>
        <f t="shared" si="0"/>
        <v>0</v>
      </c>
      <c r="R11">
        <f t="shared" si="0"/>
        <v>0</v>
      </c>
    </row>
    <row r="12" spans="1:18" x14ac:dyDescent="0.25">
      <c r="A12">
        <v>10</v>
      </c>
      <c r="B12" t="s">
        <v>119</v>
      </c>
      <c r="C12">
        <f t="shared" ref="C12:R12" si="1">C23-C3</f>
        <v>0</v>
      </c>
      <c r="D12">
        <f t="shared" si="1"/>
        <v>0</v>
      </c>
      <c r="E12">
        <f t="shared" si="1"/>
        <v>0</v>
      </c>
      <c r="F12">
        <f t="shared" si="1"/>
        <v>0</v>
      </c>
      <c r="G12">
        <f t="shared" si="1"/>
        <v>0</v>
      </c>
      <c r="H12">
        <f t="shared" si="1"/>
        <v>0</v>
      </c>
      <c r="I12">
        <f t="shared" si="1"/>
        <v>0</v>
      </c>
      <c r="J12">
        <f t="shared" si="1"/>
        <v>0</v>
      </c>
      <c r="K12">
        <f t="shared" si="1"/>
        <v>0</v>
      </c>
      <c r="L12">
        <f t="shared" si="1"/>
        <v>0</v>
      </c>
      <c r="M12">
        <f t="shared" si="1"/>
        <v>0</v>
      </c>
      <c r="N12">
        <f t="shared" si="1"/>
        <v>0</v>
      </c>
      <c r="O12">
        <f t="shared" si="1"/>
        <v>0</v>
      </c>
      <c r="P12">
        <f t="shared" si="1"/>
        <v>0</v>
      </c>
      <c r="Q12">
        <f t="shared" si="1"/>
        <v>0</v>
      </c>
      <c r="R12">
        <f t="shared" si="1"/>
        <v>0</v>
      </c>
    </row>
    <row r="13" spans="1:18" x14ac:dyDescent="0.25">
      <c r="A13">
        <v>100</v>
      </c>
      <c r="B13" t="s">
        <v>93</v>
      </c>
      <c r="C13">
        <f t="shared" ref="C13:R13" si="2">C24-C4</f>
        <v>0</v>
      </c>
      <c r="D13">
        <f t="shared" si="2"/>
        <v>0</v>
      </c>
      <c r="E13">
        <f t="shared" si="2"/>
        <v>0</v>
      </c>
      <c r="F13">
        <f t="shared" si="2"/>
        <v>0</v>
      </c>
      <c r="G13">
        <f t="shared" si="2"/>
        <v>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>
        <f t="shared" si="2"/>
        <v>0</v>
      </c>
      <c r="N13">
        <f t="shared" si="2"/>
        <v>0</v>
      </c>
      <c r="O13">
        <f t="shared" si="2"/>
        <v>0</v>
      </c>
      <c r="P13">
        <f t="shared" si="2"/>
        <v>0</v>
      </c>
      <c r="Q13">
        <f t="shared" si="2"/>
        <v>0</v>
      </c>
      <c r="R13">
        <f t="shared" si="2"/>
        <v>0</v>
      </c>
    </row>
    <row r="14" spans="1:18" x14ac:dyDescent="0.25">
      <c r="A14">
        <v>1000</v>
      </c>
      <c r="B14" t="s">
        <v>120</v>
      </c>
      <c r="C14">
        <f t="shared" ref="C14:R14" si="3">C25-C5</f>
        <v>0</v>
      </c>
      <c r="D14">
        <f t="shared" si="3"/>
        <v>0</v>
      </c>
      <c r="E14">
        <f t="shared" si="3"/>
        <v>0</v>
      </c>
      <c r="F14">
        <f t="shared" si="3"/>
        <v>0</v>
      </c>
      <c r="G14">
        <f t="shared" si="3"/>
        <v>0</v>
      </c>
      <c r="H14">
        <f t="shared" si="3"/>
        <v>0</v>
      </c>
      <c r="I14">
        <f t="shared" si="3"/>
        <v>0</v>
      </c>
      <c r="J14">
        <f t="shared" si="3"/>
        <v>0</v>
      </c>
      <c r="K14">
        <f t="shared" si="3"/>
        <v>0</v>
      </c>
      <c r="L14">
        <f t="shared" si="3"/>
        <v>0</v>
      </c>
      <c r="M14">
        <f t="shared" si="3"/>
        <v>0</v>
      </c>
      <c r="N14">
        <f t="shared" si="3"/>
        <v>0</v>
      </c>
      <c r="O14">
        <f t="shared" si="3"/>
        <v>0</v>
      </c>
      <c r="P14">
        <f t="shared" si="3"/>
        <v>0</v>
      </c>
      <c r="Q14">
        <f t="shared" si="3"/>
        <v>0</v>
      </c>
      <c r="R14">
        <f t="shared" si="3"/>
        <v>0</v>
      </c>
    </row>
    <row r="15" spans="1:18" x14ac:dyDescent="0.25">
      <c r="A15">
        <v>10000</v>
      </c>
      <c r="B15" t="s">
        <v>94</v>
      </c>
      <c r="C15">
        <f t="shared" ref="C15:R15" si="4">C26-C6</f>
        <v>0</v>
      </c>
      <c r="D15">
        <f t="shared" si="4"/>
        <v>0</v>
      </c>
      <c r="E15">
        <f t="shared" si="4"/>
        <v>0</v>
      </c>
      <c r="F15">
        <f t="shared" si="4"/>
        <v>0</v>
      </c>
      <c r="G15">
        <f t="shared" si="4"/>
        <v>0</v>
      </c>
      <c r="H15">
        <f t="shared" si="4"/>
        <v>0</v>
      </c>
      <c r="I15">
        <f t="shared" si="4"/>
        <v>0</v>
      </c>
      <c r="J15">
        <f t="shared" si="4"/>
        <v>0</v>
      </c>
      <c r="K15">
        <f t="shared" si="4"/>
        <v>0</v>
      </c>
      <c r="L15">
        <f t="shared" si="4"/>
        <v>0</v>
      </c>
      <c r="M15">
        <f t="shared" si="4"/>
        <v>0</v>
      </c>
      <c r="N15">
        <f t="shared" si="4"/>
        <v>0</v>
      </c>
      <c r="O15">
        <f t="shared" si="4"/>
        <v>0</v>
      </c>
      <c r="P15">
        <f t="shared" si="4"/>
        <v>0</v>
      </c>
      <c r="Q15">
        <f t="shared" si="4"/>
        <v>0</v>
      </c>
      <c r="R15">
        <f t="shared" si="4"/>
        <v>0</v>
      </c>
    </row>
    <row r="16" spans="1:18" x14ac:dyDescent="0.25">
      <c r="A16">
        <v>100000</v>
      </c>
      <c r="B16" t="s">
        <v>95</v>
      </c>
      <c r="C16">
        <f t="shared" ref="C16:R16" si="5">C27-C7</f>
        <v>0</v>
      </c>
      <c r="D16">
        <f t="shared" si="5"/>
        <v>0</v>
      </c>
      <c r="E16">
        <f t="shared" si="5"/>
        <v>0</v>
      </c>
      <c r="F16">
        <f t="shared" si="5"/>
        <v>0</v>
      </c>
      <c r="G16">
        <f t="shared" si="5"/>
        <v>0</v>
      </c>
      <c r="H16">
        <f t="shared" si="5"/>
        <v>0</v>
      </c>
      <c r="I16">
        <f t="shared" si="5"/>
        <v>0</v>
      </c>
      <c r="J16">
        <f t="shared" si="5"/>
        <v>0</v>
      </c>
      <c r="K16">
        <f t="shared" si="5"/>
        <v>0</v>
      </c>
      <c r="L16">
        <f t="shared" si="5"/>
        <v>0</v>
      </c>
      <c r="M16">
        <f t="shared" si="5"/>
        <v>0</v>
      </c>
      <c r="N16">
        <f t="shared" si="5"/>
        <v>0</v>
      </c>
      <c r="O16">
        <f t="shared" si="5"/>
        <v>0</v>
      </c>
      <c r="P16">
        <f t="shared" si="5"/>
        <v>0</v>
      </c>
      <c r="Q16">
        <f t="shared" si="5"/>
        <v>0</v>
      </c>
      <c r="R16">
        <f t="shared" si="5"/>
        <v>0</v>
      </c>
    </row>
    <row r="17" spans="1:18" x14ac:dyDescent="0.25">
      <c r="A17">
        <v>1000000</v>
      </c>
      <c r="B17" t="s">
        <v>121</v>
      </c>
      <c r="C17">
        <f t="shared" ref="C17:R17" si="6">C28-C8</f>
        <v>0</v>
      </c>
      <c r="D17">
        <f t="shared" si="6"/>
        <v>0</v>
      </c>
      <c r="E17">
        <f t="shared" si="6"/>
        <v>0</v>
      </c>
      <c r="F17">
        <f t="shared" si="6"/>
        <v>0</v>
      </c>
      <c r="G17">
        <f t="shared" si="6"/>
        <v>0</v>
      </c>
      <c r="H17">
        <f t="shared" si="6"/>
        <v>0</v>
      </c>
      <c r="I17">
        <f t="shared" si="6"/>
        <v>0</v>
      </c>
      <c r="J17">
        <f t="shared" si="6"/>
        <v>0</v>
      </c>
      <c r="K17">
        <f t="shared" si="6"/>
        <v>0</v>
      </c>
      <c r="L17">
        <f t="shared" si="6"/>
        <v>0</v>
      </c>
      <c r="M17">
        <f t="shared" si="6"/>
        <v>0</v>
      </c>
      <c r="N17">
        <f t="shared" si="6"/>
        <v>0</v>
      </c>
      <c r="O17">
        <f t="shared" si="6"/>
        <v>0</v>
      </c>
      <c r="P17">
        <f t="shared" si="6"/>
        <v>0</v>
      </c>
      <c r="Q17">
        <f t="shared" si="6"/>
        <v>0</v>
      </c>
      <c r="R17">
        <f t="shared" si="6"/>
        <v>0</v>
      </c>
    </row>
    <row r="21" spans="1:18" x14ac:dyDescent="0.25">
      <c r="A21" t="s">
        <v>97</v>
      </c>
      <c r="C21" t="s">
        <v>111</v>
      </c>
      <c r="D21" t="s">
        <v>112</v>
      </c>
      <c r="E21" t="s">
        <v>113</v>
      </c>
      <c r="F21" t="s">
        <v>114</v>
      </c>
      <c r="G21" t="s">
        <v>115</v>
      </c>
      <c r="H21" t="s">
        <v>116</v>
      </c>
      <c r="I21" t="s">
        <v>117</v>
      </c>
      <c r="J21" t="s">
        <v>118</v>
      </c>
      <c r="K21" t="s">
        <v>0</v>
      </c>
      <c r="L21" t="s">
        <v>1</v>
      </c>
      <c r="M21" t="s">
        <v>2</v>
      </c>
      <c r="N21" t="s">
        <v>3</v>
      </c>
      <c r="O21" t="s">
        <v>4</v>
      </c>
      <c r="P21" t="s">
        <v>5</v>
      </c>
      <c r="Q21" t="s">
        <v>6</v>
      </c>
      <c r="R21" t="s">
        <v>7</v>
      </c>
    </row>
    <row r="22" spans="1:18" x14ac:dyDescent="0.25">
      <c r="A22">
        <v>1</v>
      </c>
      <c r="B22" t="s">
        <v>92</v>
      </c>
      <c r="C22" s="17">
        <f>m4.10xlarge!P16</f>
        <v>1.6013578494850616E-2</v>
      </c>
      <c r="D22" s="17">
        <f>m3.large!P16</f>
        <v>1.293719963756541E-2</v>
      </c>
      <c r="E22" s="17">
        <f>m3.2xlarge!P16</f>
        <v>1.2933443117165631E-2</v>
      </c>
      <c r="F22" s="17">
        <f>c3.8xlarge!P16</f>
        <v>2.294037800620773E-2</v>
      </c>
      <c r="G22" s="17">
        <f>g2.2xlarge!P16</f>
        <v>8.1032801176568058E-4</v>
      </c>
      <c r="H22" s="17">
        <f>r3.4xlarge!P16</f>
        <v>1.3000686522605574E-2</v>
      </c>
      <c r="I22" s="17">
        <f>i2.8xlarge!P16</f>
        <v>1.3199098292792383E-2</v>
      </c>
      <c r="J22" s="17">
        <f>d2.8xlarge!P16</f>
        <v>1.6153725106391476E-2</v>
      </c>
      <c r="K22" s="17">
        <f>Sheet1!$I$3/Sheet1!$M$3</f>
        <v>3.1171875000000002E-3</v>
      </c>
      <c r="L22" s="17">
        <f>Sheet1!$I$4/Sheet1!$M$4</f>
        <v>6.6500000000000005E-3</v>
      </c>
      <c r="M22" s="17">
        <f>Sheet1!$I$5/Sheet1!$M$5</f>
        <v>6.6500000000000005E-3</v>
      </c>
      <c r="N22" s="17">
        <f>Sheet1!$I$6/Sheet1!$M$6</f>
        <v>4.6874999999999998E-3</v>
      </c>
      <c r="O22" s="17">
        <f>Sheet1!$I$7/Sheet1!$M$7</f>
        <v>2.567546215831885E-4</v>
      </c>
      <c r="P22" s="17">
        <f>Sheet1!$I$8/Sheet1!$M$8</f>
        <v>8.3125000000000004E-3</v>
      </c>
      <c r="Q22" s="17">
        <f>Sheet1!$I$9/Sheet1!$M$9</f>
        <v>2.1312500000000002E-2</v>
      </c>
      <c r="R22" s="17">
        <f>Sheet1!$I$10/Sheet1!$M$10</f>
        <v>7.9861111111111105E-3</v>
      </c>
    </row>
    <row r="23" spans="1:18" x14ac:dyDescent="0.25">
      <c r="A23">
        <v>10</v>
      </c>
      <c r="B23" t="s">
        <v>119</v>
      </c>
      <c r="C23" s="17">
        <f>m4.10xlarge!P17</f>
        <v>1.6013578494850616E-2</v>
      </c>
      <c r="D23" s="17">
        <f>m3.large!P17</f>
        <v>1.293719963756541E-2</v>
      </c>
      <c r="E23" s="17">
        <f>m3.2xlarge!P17</f>
        <v>1.2933443117165631E-2</v>
      </c>
      <c r="F23" s="17">
        <f>c3.8xlarge!P17</f>
        <v>2.294037800620773E-2</v>
      </c>
      <c r="G23" s="17">
        <f>g2.2xlarge!P17</f>
        <v>8.1032801176568058E-4</v>
      </c>
      <c r="H23" s="17">
        <f>r3.4xlarge!P17</f>
        <v>1.3000686522605574E-2</v>
      </c>
      <c r="I23" s="17">
        <f>i2.8xlarge!P17</f>
        <v>1.3199098292792383E-2</v>
      </c>
      <c r="J23" s="17">
        <f>d2.8xlarge!P17</f>
        <v>1.6153725106391476E-2</v>
      </c>
      <c r="K23" s="17">
        <f>Sheet1!$I$3/Sheet1!$M$3</f>
        <v>3.1171875000000002E-3</v>
      </c>
      <c r="L23" s="17">
        <f>Sheet1!$I$4/Sheet1!$M$4</f>
        <v>6.6500000000000005E-3</v>
      </c>
      <c r="M23" s="17">
        <f>Sheet1!$I$5/Sheet1!$M$5</f>
        <v>6.6500000000000005E-3</v>
      </c>
      <c r="N23" s="17">
        <f>Sheet1!$I$6/Sheet1!$M$6</f>
        <v>4.6874999999999998E-3</v>
      </c>
      <c r="O23" s="17">
        <f>Sheet1!$I$7/Sheet1!$M$7</f>
        <v>2.567546215831885E-4</v>
      </c>
      <c r="P23" s="17">
        <f>Sheet1!$I$8/Sheet1!$M$8</f>
        <v>8.3125000000000004E-3</v>
      </c>
      <c r="Q23" s="17">
        <f>Sheet1!$I$9/Sheet1!$M$9</f>
        <v>2.1312500000000002E-2</v>
      </c>
      <c r="R23" s="17">
        <f>Sheet1!$I$10/Sheet1!$M$10</f>
        <v>7.9861111111111105E-3</v>
      </c>
    </row>
    <row r="24" spans="1:18" x14ac:dyDescent="0.25">
      <c r="A24">
        <v>100</v>
      </c>
      <c r="B24" t="s">
        <v>93</v>
      </c>
      <c r="C24" s="17">
        <f>m4.10xlarge!P18</f>
        <v>1.6013578494850616E-2</v>
      </c>
      <c r="D24" s="17">
        <f>m3.large!P18</f>
        <v>1.293719963756541E-2</v>
      </c>
      <c r="E24" s="17">
        <f>m3.2xlarge!P18</f>
        <v>1.2933443117165631E-2</v>
      </c>
      <c r="F24" s="17">
        <f>c3.8xlarge!P18</f>
        <v>2.294037800620773E-2</v>
      </c>
      <c r="G24" s="17">
        <f>g2.2xlarge!P18</f>
        <v>8.1032801176568058E-4</v>
      </c>
      <c r="H24" s="17">
        <f>r3.4xlarge!P18</f>
        <v>1.3000686522605574E-2</v>
      </c>
      <c r="I24" s="17">
        <f>i2.8xlarge!P18</f>
        <v>1.3199098292792383E-2</v>
      </c>
      <c r="J24" s="17">
        <f>d2.8xlarge!P18</f>
        <v>1.6153725106391476E-2</v>
      </c>
      <c r="K24" s="17">
        <f>Sheet1!$I$3/Sheet1!$M$3</f>
        <v>3.1171875000000002E-3</v>
      </c>
      <c r="L24" s="17">
        <f>Sheet1!$I$4/Sheet1!$M$4</f>
        <v>6.6500000000000005E-3</v>
      </c>
      <c r="M24" s="17">
        <f>Sheet1!$I$5/Sheet1!$M$5</f>
        <v>6.6500000000000005E-3</v>
      </c>
      <c r="N24" s="17">
        <f>Sheet1!$I$6/Sheet1!$M$6</f>
        <v>4.6874999999999998E-3</v>
      </c>
      <c r="O24" s="17">
        <f>Sheet1!$I$7/Sheet1!$M$7</f>
        <v>2.567546215831885E-4</v>
      </c>
      <c r="P24" s="17">
        <f>Sheet1!$I$8/Sheet1!$M$8</f>
        <v>8.3125000000000004E-3</v>
      </c>
      <c r="Q24" s="17">
        <f>Sheet1!$I$9/Sheet1!$M$9</f>
        <v>2.1312500000000002E-2</v>
      </c>
      <c r="R24" s="17">
        <f>Sheet1!$I$10/Sheet1!$M$10</f>
        <v>7.9861111111111105E-3</v>
      </c>
    </row>
    <row r="25" spans="1:18" x14ac:dyDescent="0.25">
      <c r="A25">
        <v>1000</v>
      </c>
      <c r="B25" t="s">
        <v>120</v>
      </c>
      <c r="C25" s="17">
        <f>m4.10xlarge!P19</f>
        <v>8.1193361110160345E-3</v>
      </c>
      <c r="D25" s="17">
        <f>m3.large!P19</f>
        <v>6.6218057304977479E-3</v>
      </c>
      <c r="E25" s="17">
        <f>m3.2xlarge!P19</f>
        <v>6.6180492100979676E-3</v>
      </c>
      <c r="F25" s="17">
        <f>c3.8xlarge!P19</f>
        <v>7.9037258465228175E-3</v>
      </c>
      <c r="G25" s="17">
        <f>g2.2xlarge!P19</f>
        <v>8.1032801176568058E-4</v>
      </c>
      <c r="H25" s="17">
        <f>r3.4xlarge!P19</f>
        <v>6.6852926155379086E-3</v>
      </c>
      <c r="I25" s="17">
        <f>i2.8xlarge!P19</f>
        <v>6.8837043857247178E-3</v>
      </c>
      <c r="J25" s="17">
        <f>d2.8xlarge!P19</f>
        <v>8.2594827225568931E-3</v>
      </c>
      <c r="K25" s="17">
        <f>Sheet1!$I$3/Sheet1!$M$3</f>
        <v>3.1171875000000002E-3</v>
      </c>
      <c r="L25" s="17">
        <f>Sheet1!$I$4/Sheet1!$M$4</f>
        <v>6.6500000000000005E-3</v>
      </c>
      <c r="M25" s="17">
        <f>Sheet1!$I$5/Sheet1!$M$5</f>
        <v>6.6500000000000005E-3</v>
      </c>
      <c r="N25" s="17">
        <f>Sheet1!$I$6/Sheet1!$M$6</f>
        <v>4.6874999999999998E-3</v>
      </c>
      <c r="O25" s="17">
        <f>Sheet1!$I$7/Sheet1!$M$7</f>
        <v>2.567546215831885E-4</v>
      </c>
      <c r="P25" s="17">
        <f>Sheet1!$I$8/Sheet1!$M$8</f>
        <v>8.3125000000000004E-3</v>
      </c>
      <c r="Q25" s="17">
        <f>Sheet1!$I$9/Sheet1!$M$9</f>
        <v>2.1312500000000002E-2</v>
      </c>
      <c r="R25" s="17">
        <f>Sheet1!$I$10/Sheet1!$M$10</f>
        <v>7.9861111111111105E-3</v>
      </c>
    </row>
    <row r="26" spans="1:18" x14ac:dyDescent="0.25">
      <c r="A26">
        <v>10000</v>
      </c>
      <c r="B26" t="s">
        <v>94</v>
      </c>
      <c r="C26" s="17">
        <f>m4.10xlarge!P20</f>
        <v>1.3528426391578217E-3</v>
      </c>
      <c r="D26" s="17">
        <f>m3.large!P20</f>
        <v>1.4553896928969322E-3</v>
      </c>
      <c r="E26" s="17">
        <f>m3.2xlarge!P20</f>
        <v>1.450908740678969E-3</v>
      </c>
      <c r="F26" s="17">
        <f>c3.8xlarge!P20</f>
        <v>1.1914429149032743E-3</v>
      </c>
      <c r="G26" s="17">
        <f>g2.2xlarge!P20</f>
        <v>8.1032801176568058E-4</v>
      </c>
      <c r="H26" s="17">
        <f>r3.4xlarge!P20</f>
        <v>1.5181521461189109E-3</v>
      </c>
      <c r="I26" s="17">
        <f>i2.8xlarge!P20</f>
        <v>1.7172883481239003E-3</v>
      </c>
      <c r="J26" s="17">
        <f>d2.8xlarge!P20</f>
        <v>1.4178059899002575E-3</v>
      </c>
      <c r="K26" s="17">
        <f>Sheet1!$I$3/Sheet1!$M$3</f>
        <v>3.1171875000000002E-3</v>
      </c>
      <c r="L26" s="17">
        <f>Sheet1!$I$4/Sheet1!$M$4</f>
        <v>6.6500000000000005E-3</v>
      </c>
      <c r="M26" s="17">
        <f>Sheet1!$I$5/Sheet1!$M$5</f>
        <v>6.6500000000000005E-3</v>
      </c>
      <c r="N26" s="17">
        <f>Sheet1!$I$6/Sheet1!$M$6</f>
        <v>4.6874999999999998E-3</v>
      </c>
      <c r="O26" s="17">
        <f>Sheet1!$I$7/Sheet1!$M$7</f>
        <v>2.567546215831885E-4</v>
      </c>
      <c r="P26" s="17">
        <f>Sheet1!$I$8/Sheet1!$M$8</f>
        <v>8.3125000000000004E-3</v>
      </c>
      <c r="Q26" s="17">
        <f>Sheet1!$I$9/Sheet1!$M$9</f>
        <v>2.1312500000000002E-2</v>
      </c>
      <c r="R26" s="17">
        <f>Sheet1!$I$10/Sheet1!$M$10</f>
        <v>7.9861111111111105E-3</v>
      </c>
    </row>
    <row r="27" spans="1:18" x14ac:dyDescent="0.25">
      <c r="A27">
        <v>100000</v>
      </c>
      <c r="B27" t="s">
        <v>95</v>
      </c>
      <c r="C27" s="17">
        <f>m4.10xlarge!P21</f>
        <v>3.5022513446830342E-4</v>
      </c>
      <c r="D27" s="17">
        <f>m3.large!P21</f>
        <v>4.2868368225789153E-4</v>
      </c>
      <c r="E27" s="17">
        <f>m3.2xlarge!P21</f>
        <v>4.2454769757239633E-4</v>
      </c>
      <c r="F27" s="17">
        <f>c3.8xlarge!P21</f>
        <v>4.6850521886459726E-4</v>
      </c>
      <c r="G27" s="17">
        <f>g2.2xlarge!P21</f>
        <v>1.4785962841104474E-4</v>
      </c>
      <c r="H27" s="17">
        <f>r3.4xlarge!P21</f>
        <v>4.9141163872662365E-4</v>
      </c>
      <c r="I27" s="17">
        <f>i2.8xlarge!P21</f>
        <v>6.9058233748485996E-4</v>
      </c>
      <c r="J27" s="17">
        <f>d2.8xlarge!P21</f>
        <v>4.7581686444052068E-4</v>
      </c>
      <c r="K27" s="17">
        <f>Sheet1!$I$3/Sheet1!$M$3</f>
        <v>3.1171875000000002E-3</v>
      </c>
      <c r="L27" s="17">
        <f>Sheet1!$I$4/Sheet1!$M$4</f>
        <v>6.6500000000000005E-3</v>
      </c>
      <c r="M27" s="17">
        <f>Sheet1!$I$5/Sheet1!$M$5</f>
        <v>6.6500000000000005E-3</v>
      </c>
      <c r="N27" s="17">
        <f>Sheet1!$I$6/Sheet1!$M$6</f>
        <v>4.6874999999999998E-3</v>
      </c>
      <c r="O27" s="17">
        <f>Sheet1!$I$7/Sheet1!$M$7</f>
        <v>2.567546215831885E-4</v>
      </c>
      <c r="P27" s="17">
        <f>Sheet1!$I$8/Sheet1!$M$8</f>
        <v>8.3125000000000004E-3</v>
      </c>
      <c r="Q27" s="17">
        <f>Sheet1!$I$9/Sheet1!$M$9</f>
        <v>2.1312500000000002E-2</v>
      </c>
      <c r="R27" s="17">
        <f>Sheet1!$I$10/Sheet1!$M$10</f>
        <v>7.9861111111111105E-3</v>
      </c>
    </row>
    <row r="28" spans="1:18" x14ac:dyDescent="0.25">
      <c r="A28">
        <v>1000000</v>
      </c>
      <c r="B28" t="s">
        <v>121</v>
      </c>
      <c r="C28" s="17">
        <f>m4.10xlarge!P22</f>
        <v>2.5609260709887033E-4</v>
      </c>
      <c r="D28" s="17">
        <f>m3.large!P22</f>
        <v>3.3428869797444297E-4</v>
      </c>
      <c r="E28" s="17">
        <f>m3.2xlarge!P22</f>
        <v>3.2930856912936457E-4</v>
      </c>
      <c r="F28" s="17">
        <f>c3.8xlarge!P22</f>
        <v>4.1309995014722142E-4</v>
      </c>
      <c r="G28" s="17">
        <f>g2.2xlarge!P22</f>
        <v>4.9221593185751897E-5</v>
      </c>
      <c r="H28" s="17">
        <f>r3.4xlarge!P22</f>
        <v>3.957030962103811E-4</v>
      </c>
      <c r="I28" s="17">
        <f>i2.8xlarge!P22</f>
        <v>5.9618735320141145E-4</v>
      </c>
      <c r="J28" s="17">
        <f>d2.8xlarge!P22</f>
        <v>3.8917246885288064E-4</v>
      </c>
      <c r="K28" s="17">
        <f>Sheet1!$I$3/Sheet1!$M$3</f>
        <v>3.1171875000000002E-3</v>
      </c>
      <c r="L28" s="17">
        <f>Sheet1!$I$4/Sheet1!$M$4</f>
        <v>6.6500000000000005E-3</v>
      </c>
      <c r="M28" s="17">
        <f>Sheet1!$I$5/Sheet1!$M$5</f>
        <v>6.6500000000000005E-3</v>
      </c>
      <c r="N28" s="17">
        <f>Sheet1!$I$6/Sheet1!$M$6</f>
        <v>4.6874999999999998E-3</v>
      </c>
      <c r="O28" s="17">
        <f>Sheet1!$I$7/Sheet1!$M$7</f>
        <v>2.567546215831885E-4</v>
      </c>
      <c r="P28" s="17">
        <f>Sheet1!$I$8/Sheet1!$M$8</f>
        <v>8.3125000000000004E-3</v>
      </c>
      <c r="Q28" s="17">
        <f>Sheet1!$I$9/Sheet1!$M$9</f>
        <v>2.1312500000000002E-2</v>
      </c>
      <c r="R28" s="17">
        <f>Sheet1!$I$10/Sheet1!$M$10</f>
        <v>7.9861111111111105E-3</v>
      </c>
    </row>
    <row r="41" spans="2:2" x14ac:dyDescent="0.25">
      <c r="B41" s="11"/>
    </row>
    <row r="57" spans="1:10" x14ac:dyDescent="0.25">
      <c r="C57">
        <f t="shared" ref="C57:J57" si="7">(INTERCEPT(C22:C28,$A$22:$A$28)-INTERCEPT(K22:K28,$A$22:$A$28))/(SLOPE(K22:K28,$A$22:$A$28)-SLOPE(C22:C28,$A$22:$A$28))</f>
        <v>643917.87935657904</v>
      </c>
      <c r="D57">
        <f t="shared" si="7"/>
        <v>177047.52774576491</v>
      </c>
      <c r="E57">
        <f t="shared" si="7"/>
        <v>176569.41508253638</v>
      </c>
      <c r="F57">
        <f t="shared" si="7"/>
        <v>614194.21932964586</v>
      </c>
      <c r="G57">
        <f t="shared" si="7"/>
        <v>644236.76516355819</v>
      </c>
      <c r="H57">
        <f t="shared" si="7"/>
        <v>-9064.6860612364198</v>
      </c>
      <c r="I57">
        <f t="shared" si="7"/>
        <v>-1498869.4108060526</v>
      </c>
      <c r="J57">
        <f t="shared" si="7"/>
        <v>200203.52493527488</v>
      </c>
    </row>
    <row r="58" spans="1:10" x14ac:dyDescent="0.25">
      <c r="C58">
        <f t="shared" ref="C58:J58" si="8">SLOPE(K22:K28,$A$22:$A$28)*C57+INTERCEPT(K22:K28,$A$22:$A$28)</f>
        <v>3.1171875000000002E-3</v>
      </c>
      <c r="D58">
        <f t="shared" si="8"/>
        <v>6.6500000000000014E-3</v>
      </c>
      <c r="E58">
        <f t="shared" si="8"/>
        <v>6.6500000000000014E-3</v>
      </c>
      <c r="F58">
        <f t="shared" si="8"/>
        <v>4.6874999999999998E-3</v>
      </c>
      <c r="G58">
        <f t="shared" si="8"/>
        <v>2.567546215831885E-4</v>
      </c>
      <c r="H58">
        <f t="shared" si="8"/>
        <v>8.3125000000000004E-3</v>
      </c>
      <c r="I58">
        <f t="shared" si="8"/>
        <v>2.1312500000000005E-2</v>
      </c>
      <c r="J58">
        <f t="shared" si="8"/>
        <v>7.9861111111111105E-3</v>
      </c>
    </row>
    <row r="59" spans="1:10" x14ac:dyDescent="0.25">
      <c r="C59">
        <f>IF(C57&lt;A68,1,0)</f>
        <v>1</v>
      </c>
    </row>
    <row r="61" spans="1:10" x14ac:dyDescent="0.25">
      <c r="A61" t="str">
        <f t="shared" ref="A61:J61" si="9">A21</f>
        <v>Gflops</v>
      </c>
      <c r="B61">
        <f t="shared" si="9"/>
        <v>0</v>
      </c>
      <c r="C61" t="str">
        <f t="shared" si="9"/>
        <v>pr.m4.10xlarge</v>
      </c>
      <c r="D61" t="str">
        <f t="shared" si="9"/>
        <v>pr.m3.large</v>
      </c>
      <c r="E61" t="str">
        <f t="shared" si="9"/>
        <v>pr.m3.2xlarge</v>
      </c>
      <c r="F61" t="str">
        <f t="shared" si="9"/>
        <v>pr.c3.8xlarge</v>
      </c>
      <c r="G61" t="str">
        <f t="shared" si="9"/>
        <v>pr.g2.2xlarge</v>
      </c>
      <c r="H61" t="str">
        <f t="shared" si="9"/>
        <v>pr.r3.4xlarge</v>
      </c>
      <c r="I61" t="str">
        <f t="shared" si="9"/>
        <v>pr.i2.8xlarge</v>
      </c>
      <c r="J61" t="str">
        <f t="shared" si="9"/>
        <v>pr.d2.8xlarge</v>
      </c>
    </row>
    <row r="62" spans="1:10" x14ac:dyDescent="0.25">
      <c r="A62">
        <f t="shared" ref="A62:B68" si="10">A22</f>
        <v>1</v>
      </c>
      <c r="B62" t="str">
        <f t="shared" si="10"/>
        <v>1 Gflops</v>
      </c>
      <c r="C62">
        <f>(C22/K22)*100</f>
        <v>513.71880885736311</v>
      </c>
      <c r="D62">
        <f t="shared" ref="D62:J62" si="11">(D22/L22)*100</f>
        <v>194.5443554521114</v>
      </c>
      <c r="E62">
        <f t="shared" si="11"/>
        <v>194.4878664235433</v>
      </c>
      <c r="F62">
        <f t="shared" si="11"/>
        <v>489.39473079909828</v>
      </c>
      <c r="G62">
        <f t="shared" si="11"/>
        <v>315.60406070553796</v>
      </c>
      <c r="H62">
        <f t="shared" si="11"/>
        <v>156.39923636217233</v>
      </c>
      <c r="I62">
        <f t="shared" si="11"/>
        <v>61.931252986709126</v>
      </c>
      <c r="J62">
        <f t="shared" si="11"/>
        <v>202.27273176698893</v>
      </c>
    </row>
    <row r="63" spans="1:10" x14ac:dyDescent="0.25">
      <c r="A63">
        <f t="shared" si="10"/>
        <v>10</v>
      </c>
      <c r="B63" t="str">
        <f t="shared" si="10"/>
        <v>10 GFlops</v>
      </c>
      <c r="C63">
        <f t="shared" ref="C63:J63" si="12">(C23/K23)*100</f>
        <v>513.71880885736311</v>
      </c>
      <c r="D63">
        <f t="shared" si="12"/>
        <v>194.5443554521114</v>
      </c>
      <c r="E63">
        <f t="shared" si="12"/>
        <v>194.4878664235433</v>
      </c>
      <c r="F63">
        <f t="shared" si="12"/>
        <v>489.39473079909828</v>
      </c>
      <c r="G63">
        <f t="shared" si="12"/>
        <v>315.60406070553796</v>
      </c>
      <c r="H63">
        <f t="shared" si="12"/>
        <v>156.39923636217233</v>
      </c>
      <c r="I63">
        <f t="shared" si="12"/>
        <v>61.931252986709126</v>
      </c>
      <c r="J63">
        <f t="shared" si="12"/>
        <v>202.27273176698893</v>
      </c>
    </row>
    <row r="64" spans="1:10" x14ac:dyDescent="0.25">
      <c r="A64">
        <f t="shared" si="10"/>
        <v>100</v>
      </c>
      <c r="B64" t="str">
        <f t="shared" si="10"/>
        <v>100 Gflops</v>
      </c>
      <c r="C64">
        <f t="shared" ref="C64:J64" si="13">(C24/K24)*100</f>
        <v>513.71880885736311</v>
      </c>
      <c r="D64">
        <f t="shared" si="13"/>
        <v>194.5443554521114</v>
      </c>
      <c r="E64">
        <f t="shared" si="13"/>
        <v>194.4878664235433</v>
      </c>
      <c r="F64">
        <f t="shared" si="13"/>
        <v>489.39473079909828</v>
      </c>
      <c r="G64">
        <f t="shared" si="13"/>
        <v>315.60406070553796</v>
      </c>
      <c r="H64">
        <f t="shared" si="13"/>
        <v>156.39923636217233</v>
      </c>
      <c r="I64">
        <f t="shared" si="13"/>
        <v>61.931252986709126</v>
      </c>
      <c r="J64">
        <f t="shared" si="13"/>
        <v>202.27273176698893</v>
      </c>
    </row>
    <row r="65" spans="1:10" x14ac:dyDescent="0.25">
      <c r="A65">
        <f t="shared" si="10"/>
        <v>1000</v>
      </c>
      <c r="B65" t="str">
        <f t="shared" si="10"/>
        <v>1 Tflops</v>
      </c>
      <c r="C65">
        <f t="shared" ref="C65:J65" si="14">(C25/K25)*100</f>
        <v>260.46993037845925</v>
      </c>
      <c r="D65">
        <f t="shared" si="14"/>
        <v>99.576026022522512</v>
      </c>
      <c r="E65">
        <f t="shared" si="14"/>
        <v>99.519536993954389</v>
      </c>
      <c r="F65">
        <f t="shared" si="14"/>
        <v>168.61281805915345</v>
      </c>
      <c r="G65">
        <f t="shared" si="14"/>
        <v>315.60406070553796</v>
      </c>
      <c r="H65">
        <f t="shared" si="14"/>
        <v>80.424572818501147</v>
      </c>
      <c r="I65">
        <f t="shared" si="14"/>
        <v>32.298906208679021</v>
      </c>
      <c r="J65">
        <f t="shared" si="14"/>
        <v>103.42308800419066</v>
      </c>
    </row>
    <row r="66" spans="1:10" x14ac:dyDescent="0.25">
      <c r="A66">
        <f t="shared" si="10"/>
        <v>10000</v>
      </c>
      <c r="B66" t="str">
        <f t="shared" si="10"/>
        <v>10 Tflops</v>
      </c>
      <c r="C66">
        <f t="shared" ref="C66:J66" si="15">(C26/K26)*100</f>
        <v>43.399463110827355</v>
      </c>
      <c r="D66">
        <f t="shared" si="15"/>
        <v>21.885559291683187</v>
      </c>
      <c r="E66">
        <f t="shared" si="15"/>
        <v>21.818176551563443</v>
      </c>
      <c r="F66">
        <f t="shared" si="15"/>
        <v>25.417448851269853</v>
      </c>
      <c r="G66">
        <f t="shared" si="15"/>
        <v>315.60406070553796</v>
      </c>
      <c r="H66">
        <f t="shared" si="15"/>
        <v>18.263484464588402</v>
      </c>
      <c r="I66">
        <f t="shared" si="15"/>
        <v>8.0576579384112623</v>
      </c>
      <c r="J66">
        <f t="shared" si="15"/>
        <v>17.753396743098879</v>
      </c>
    </row>
    <row r="67" spans="1:10" x14ac:dyDescent="0.25">
      <c r="A67">
        <f t="shared" si="10"/>
        <v>100000</v>
      </c>
      <c r="B67" t="str">
        <f t="shared" si="10"/>
        <v>100 Tflops</v>
      </c>
      <c r="C67">
        <f t="shared" ref="C67:J67" si="16">(C27/K27)*100</f>
        <v>11.235292534321513</v>
      </c>
      <c r="D67">
        <f t="shared" si="16"/>
        <v>6.4463711617728041</v>
      </c>
      <c r="E67">
        <f t="shared" si="16"/>
        <v>6.3841759033443051</v>
      </c>
      <c r="F67">
        <f t="shared" si="16"/>
        <v>9.9947780024447415</v>
      </c>
      <c r="G67">
        <f t="shared" si="16"/>
        <v>57.587913120830905</v>
      </c>
      <c r="H67">
        <f t="shared" si="16"/>
        <v>5.9117189621247954</v>
      </c>
      <c r="I67">
        <f t="shared" si="16"/>
        <v>3.2402690321870256</v>
      </c>
      <c r="J67">
        <f t="shared" si="16"/>
        <v>5.9580546503856509</v>
      </c>
    </row>
    <row r="68" spans="1:10" x14ac:dyDescent="0.25">
      <c r="A68">
        <f t="shared" si="10"/>
        <v>1000000</v>
      </c>
      <c r="B68" t="str">
        <f t="shared" si="10"/>
        <v>1 Pflops</v>
      </c>
      <c r="C68">
        <f t="shared" ref="C68:J68" si="17">(C28/K28)*100</f>
        <v>8.2155021826204013</v>
      </c>
      <c r="D68">
        <f t="shared" si="17"/>
        <v>5.0268977139013975</v>
      </c>
      <c r="E68">
        <f t="shared" si="17"/>
        <v>4.9520085583363089</v>
      </c>
      <c r="F68">
        <f t="shared" si="17"/>
        <v>8.8127989364740582</v>
      </c>
      <c r="G68">
        <f t="shared" si="17"/>
        <v>19.170674662930693</v>
      </c>
      <c r="H68">
        <f t="shared" si="17"/>
        <v>4.7603379995233812</v>
      </c>
      <c r="I68">
        <f t="shared" si="17"/>
        <v>2.797360015021285</v>
      </c>
      <c r="J68">
        <f t="shared" si="17"/>
        <v>4.8731161317230276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cmdRefresh">
          <controlPr defaultSize="0" autoLine="0" r:id="rId5">
            <anchor moveWithCells="1">
              <from>
                <xdr:col>2</xdr:col>
                <xdr:colOff>257175</xdr:colOff>
                <xdr:row>35</xdr:row>
                <xdr:rowOff>9525</xdr:rowOff>
              </from>
              <to>
                <xdr:col>3</xdr:col>
                <xdr:colOff>257175</xdr:colOff>
                <xdr:row>36</xdr:row>
                <xdr:rowOff>142875</xdr:rowOff>
              </to>
            </anchor>
          </controlPr>
        </control>
      </mc:Choice>
      <mc:Fallback>
        <control shapeId="13314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R103"/>
  <sheetViews>
    <sheetView topLeftCell="A104" workbookViewId="0">
      <selection activeCell="L98" sqref="L98"/>
    </sheetView>
  </sheetViews>
  <sheetFormatPr defaultRowHeight="15" x14ac:dyDescent="0.25"/>
  <cols>
    <col min="1" max="1" width="8" bestFit="1" customWidth="1"/>
    <col min="2" max="2" width="10.140625" bestFit="1" customWidth="1"/>
    <col min="3" max="4" width="14.7109375" bestFit="1" customWidth="1"/>
    <col min="5" max="5" width="13.42578125" bestFit="1" customWidth="1"/>
    <col min="6" max="9" width="12.5703125" bestFit="1" customWidth="1"/>
    <col min="10" max="10" width="12.7109375" bestFit="1" customWidth="1"/>
    <col min="11" max="18" width="12.5703125" bestFit="1" customWidth="1"/>
  </cols>
  <sheetData>
    <row r="1" spans="1:18" x14ac:dyDescent="0.25">
      <c r="A1" t="s">
        <v>97</v>
      </c>
      <c r="C1" t="s">
        <v>111</v>
      </c>
      <c r="D1" t="s">
        <v>112</v>
      </c>
      <c r="E1" t="s">
        <v>113</v>
      </c>
      <c r="F1" t="s">
        <v>114</v>
      </c>
      <c r="G1" t="s">
        <v>115</v>
      </c>
      <c r="H1" t="s">
        <v>116</v>
      </c>
      <c r="I1" t="s">
        <v>117</v>
      </c>
      <c r="J1" t="s">
        <v>118</v>
      </c>
      <c r="K1" t="s">
        <v>0</v>
      </c>
      <c r="L1" t="s">
        <v>1</v>
      </c>
      <c r="M1" t="s">
        <v>2</v>
      </c>
      <c r="N1" t="s">
        <v>3</v>
      </c>
      <c r="O1" t="s">
        <v>4</v>
      </c>
      <c r="P1" t="s">
        <v>5</v>
      </c>
      <c r="Q1" t="s">
        <v>6</v>
      </c>
      <c r="R1" t="s">
        <v>7</v>
      </c>
    </row>
    <row r="2" spans="1:18" x14ac:dyDescent="0.25">
      <c r="A2">
        <v>1</v>
      </c>
      <c r="B2" t="s">
        <v>92</v>
      </c>
      <c r="C2">
        <v>1.6013578494850616E-2</v>
      </c>
      <c r="D2">
        <v>0.62098558260313974</v>
      </c>
      <c r="E2">
        <v>0.15520131740598758</v>
      </c>
      <c r="F2">
        <v>3.4410567009311589E-2</v>
      </c>
      <c r="G2">
        <v>5.0217546654247949E-3</v>
      </c>
      <c r="H2">
        <v>7.8004119135633446E-2</v>
      </c>
      <c r="I2">
        <v>3.9597294878377147E-2</v>
      </c>
      <c r="J2">
        <v>1.7948583451546086E-2</v>
      </c>
      <c r="K2">
        <v>3.1171875000000002E-3</v>
      </c>
      <c r="L2">
        <v>6.6500000000000005E-3</v>
      </c>
      <c r="M2">
        <v>6.6500000000000005E-3</v>
      </c>
      <c r="N2">
        <v>4.6874999999999998E-3</v>
      </c>
      <c r="O2">
        <v>2.567546215831885E-4</v>
      </c>
      <c r="P2">
        <v>8.3125000000000004E-3</v>
      </c>
      <c r="Q2">
        <v>2.1312500000000002E-2</v>
      </c>
      <c r="R2">
        <v>7.9861111111111105E-3</v>
      </c>
    </row>
    <row r="3" spans="1:18" x14ac:dyDescent="0.25">
      <c r="A3">
        <v>10</v>
      </c>
      <c r="B3" t="s">
        <v>119</v>
      </c>
      <c r="C3">
        <v>1.6013578494850616E-2</v>
      </c>
      <c r="D3">
        <v>0.62098558260313974</v>
      </c>
      <c r="E3">
        <v>0.15520131740598758</v>
      </c>
      <c r="F3">
        <v>3.4410567009311589E-2</v>
      </c>
      <c r="G3">
        <v>5.0217546654247949E-3</v>
      </c>
      <c r="H3">
        <v>7.8004119135633446E-2</v>
      </c>
      <c r="I3">
        <v>3.9597294878377147E-2</v>
      </c>
      <c r="J3">
        <v>1.7948583451546086E-2</v>
      </c>
      <c r="K3">
        <v>3.1171875000000002E-3</v>
      </c>
      <c r="L3">
        <v>6.6500000000000005E-3</v>
      </c>
      <c r="M3">
        <v>6.6500000000000005E-3</v>
      </c>
      <c r="N3">
        <v>4.6874999999999998E-3</v>
      </c>
      <c r="O3">
        <v>2.567546215831885E-4</v>
      </c>
      <c r="P3">
        <v>8.3125000000000004E-3</v>
      </c>
      <c r="Q3">
        <v>2.1312500000000002E-2</v>
      </c>
      <c r="R3">
        <v>7.9861111111111105E-3</v>
      </c>
    </row>
    <row r="4" spans="1:18" x14ac:dyDescent="0.25">
      <c r="A4">
        <v>100</v>
      </c>
      <c r="B4" t="s">
        <v>93</v>
      </c>
      <c r="C4">
        <v>1.6013578494850616E-2</v>
      </c>
      <c r="D4">
        <v>0.12419711652062794</v>
      </c>
      <c r="E4">
        <v>7.7600658702993791E-2</v>
      </c>
      <c r="F4">
        <v>3.4410567009311589E-2</v>
      </c>
      <c r="G4">
        <v>5.0217546654247949E-3</v>
      </c>
      <c r="H4">
        <v>7.8004119135633446E-2</v>
      </c>
      <c r="I4">
        <v>3.9597294878377147E-2</v>
      </c>
      <c r="J4">
        <v>1.7948583451546086E-2</v>
      </c>
      <c r="K4">
        <v>3.1171875000000002E-3</v>
      </c>
      <c r="L4">
        <v>6.6500000000000005E-3</v>
      </c>
      <c r="M4">
        <v>6.6500000000000005E-3</v>
      </c>
      <c r="N4">
        <v>4.6874999999999998E-3</v>
      </c>
      <c r="O4">
        <v>2.567546215831885E-4</v>
      </c>
      <c r="P4">
        <v>8.3125000000000004E-3</v>
      </c>
      <c r="Q4">
        <v>2.1312500000000002E-2</v>
      </c>
      <c r="R4">
        <v>7.9861111111111105E-3</v>
      </c>
    </row>
    <row r="5" spans="1:18" x14ac:dyDescent="0.25">
      <c r="A5">
        <v>1000</v>
      </c>
      <c r="B5" t="s">
        <v>120</v>
      </c>
      <c r="C5">
        <v>8.1193361110160345E-3</v>
      </c>
      <c r="D5">
        <v>1.2713867002555675E-2</v>
      </c>
      <c r="E5" t="s">
        <v>133</v>
      </c>
      <c r="F5">
        <v>1.1855588769784226E-2</v>
      </c>
      <c r="G5">
        <v>5.0217546654247949E-3</v>
      </c>
      <c r="H5">
        <v>1.1460501626636414E-2</v>
      </c>
      <c r="I5">
        <v>1.0325556578587077E-2</v>
      </c>
      <c r="J5" t="s">
        <v>134</v>
      </c>
      <c r="K5">
        <v>3.1171875000000002E-3</v>
      </c>
      <c r="L5">
        <v>6.6500000000000005E-3</v>
      </c>
      <c r="M5">
        <v>6.6500000000000005E-3</v>
      </c>
      <c r="N5">
        <v>4.6874999999999998E-3</v>
      </c>
      <c r="O5">
        <v>2.567546215831885E-4</v>
      </c>
      <c r="P5">
        <v>8.3125000000000004E-3</v>
      </c>
      <c r="Q5">
        <v>2.1312500000000002E-2</v>
      </c>
      <c r="R5">
        <v>7.9861111111111105E-3</v>
      </c>
    </row>
    <row r="6" spans="1:18" x14ac:dyDescent="0.25">
      <c r="A6">
        <v>10000</v>
      </c>
      <c r="B6" t="s">
        <v>94</v>
      </c>
      <c r="C6">
        <v>1.3528426391578217E-3</v>
      </c>
      <c r="D6">
        <v>1.5368915156991605E-3</v>
      </c>
      <c r="E6">
        <v>1.5321596301569914E-3</v>
      </c>
      <c r="F6">
        <v>1.7871643723549114E-3</v>
      </c>
      <c r="G6">
        <v>1.2554386663561987E-3</v>
      </c>
      <c r="H6">
        <v>1.5904451054579065E-3</v>
      </c>
      <c r="I6">
        <v>1.7709536090027723E-3</v>
      </c>
      <c r="J6">
        <v>1.5753399887780642E-3</v>
      </c>
      <c r="K6">
        <v>3.1171875000000002E-3</v>
      </c>
      <c r="L6">
        <v>6.6500000000000005E-3</v>
      </c>
      <c r="M6">
        <v>6.6500000000000005E-3</v>
      </c>
      <c r="N6">
        <v>4.6874999999999998E-3</v>
      </c>
      <c r="O6">
        <v>2.567546215831885E-4</v>
      </c>
      <c r="P6">
        <v>8.3125000000000004E-3</v>
      </c>
      <c r="Q6">
        <v>2.1312500000000002E-2</v>
      </c>
      <c r="R6">
        <v>7.9861111111111105E-3</v>
      </c>
    </row>
    <row r="7" spans="1:18" x14ac:dyDescent="0.25">
      <c r="A7">
        <v>100000</v>
      </c>
      <c r="B7" t="s">
        <v>95</v>
      </c>
      <c r="C7" t="s">
        <v>135</v>
      </c>
      <c r="D7">
        <v>4.3211315171595466E-4</v>
      </c>
      <c r="E7">
        <v>4.279440791529755E-4</v>
      </c>
      <c r="F7">
        <v>7.0275782829689573E-4</v>
      </c>
      <c r="G7">
        <v>1.6035492344274759E-4</v>
      </c>
      <c r="H7">
        <v>4.9534293183643664E-4</v>
      </c>
      <c r="I7">
        <v>6.9499500417805396E-4</v>
      </c>
      <c r="J7">
        <v>5.2868540493391191E-4</v>
      </c>
      <c r="K7">
        <v>3.1171875000000002E-3</v>
      </c>
      <c r="L7">
        <v>6.6500000000000005E-3</v>
      </c>
      <c r="M7">
        <v>6.6500000000000005E-3</v>
      </c>
      <c r="N7">
        <v>4.6874999999999998E-3</v>
      </c>
      <c r="O7">
        <v>2.567546215831885E-4</v>
      </c>
      <c r="P7">
        <v>8.3125000000000004E-3</v>
      </c>
      <c r="Q7">
        <v>2.1312500000000002E-2</v>
      </c>
      <c r="R7">
        <v>7.9861111111111105E-3</v>
      </c>
    </row>
    <row r="8" spans="1:18" x14ac:dyDescent="0.25">
      <c r="A8">
        <v>1000000</v>
      </c>
      <c r="B8" t="s">
        <v>121</v>
      </c>
      <c r="C8">
        <v>2.5609260709887033E-4</v>
      </c>
      <c r="D8">
        <v>3.343956703577948E-4</v>
      </c>
      <c r="E8">
        <v>3.2941394787148597E-4</v>
      </c>
      <c r="F8" t="s">
        <v>136</v>
      </c>
      <c r="G8">
        <v>5.0839240741864465E-5</v>
      </c>
      <c r="H8">
        <v>3.9582972120116839E-4</v>
      </c>
      <c r="I8">
        <v>5.9637813315443588E-4</v>
      </c>
      <c r="J8">
        <v>4.3241385428097851E-4</v>
      </c>
      <c r="K8">
        <v>3.1171875000000002E-3</v>
      </c>
      <c r="L8">
        <v>6.6500000000000005E-3</v>
      </c>
      <c r="M8">
        <v>6.6500000000000005E-3</v>
      </c>
      <c r="N8">
        <v>4.6874999999999998E-3</v>
      </c>
      <c r="O8">
        <v>2.567546215831885E-4</v>
      </c>
      <c r="P8">
        <v>8.3125000000000004E-3</v>
      </c>
      <c r="Q8">
        <v>2.1312500000000002E-2</v>
      </c>
      <c r="R8">
        <v>7.9861111111111105E-3</v>
      </c>
    </row>
    <row r="10" spans="1:18" x14ac:dyDescent="0.25">
      <c r="A10" t="s">
        <v>97</v>
      </c>
      <c r="C10" t="s">
        <v>111</v>
      </c>
      <c r="D10" t="s">
        <v>112</v>
      </c>
      <c r="E10" t="s">
        <v>113</v>
      </c>
      <c r="F10" t="s">
        <v>114</v>
      </c>
      <c r="G10" t="s">
        <v>115</v>
      </c>
      <c r="H10" t="s">
        <v>116</v>
      </c>
      <c r="I10" t="s">
        <v>117</v>
      </c>
      <c r="J10" t="s">
        <v>118</v>
      </c>
      <c r="K10" t="s">
        <v>0</v>
      </c>
      <c r="L10" t="s">
        <v>1</v>
      </c>
      <c r="M10" t="s">
        <v>2</v>
      </c>
      <c r="N10" t="s">
        <v>3</v>
      </c>
      <c r="O10" t="s">
        <v>4</v>
      </c>
      <c r="P10" t="s">
        <v>5</v>
      </c>
      <c r="Q10" t="s">
        <v>6</v>
      </c>
      <c r="R10" t="s">
        <v>7</v>
      </c>
    </row>
    <row r="11" spans="1:18" x14ac:dyDescent="0.25">
      <c r="A11">
        <v>1</v>
      </c>
      <c r="B11" t="s">
        <v>92</v>
      </c>
      <c r="C11" s="17">
        <f t="shared" ref="C11:R11" si="0">C$22-C2</f>
        <v>0</v>
      </c>
      <c r="D11" s="17">
        <f t="shared" si="0"/>
        <v>0</v>
      </c>
      <c r="E11" s="17">
        <f t="shared" si="0"/>
        <v>0</v>
      </c>
      <c r="F11" s="17">
        <f t="shared" si="0"/>
        <v>0</v>
      </c>
      <c r="G11" s="17">
        <f t="shared" si="0"/>
        <v>0</v>
      </c>
      <c r="H11" s="17">
        <f t="shared" si="0"/>
        <v>0</v>
      </c>
      <c r="I11" s="17">
        <f t="shared" si="0"/>
        <v>0</v>
      </c>
      <c r="J11" s="17">
        <f t="shared" si="0"/>
        <v>0</v>
      </c>
      <c r="K11" s="17">
        <f t="shared" si="0"/>
        <v>0</v>
      </c>
      <c r="L11" s="17">
        <f t="shared" si="0"/>
        <v>0</v>
      </c>
      <c r="M11" s="17">
        <f t="shared" si="0"/>
        <v>0</v>
      </c>
      <c r="N11" s="17">
        <f t="shared" si="0"/>
        <v>0</v>
      </c>
      <c r="O11" s="17">
        <f t="shared" si="0"/>
        <v>0</v>
      </c>
      <c r="P11" s="17">
        <f t="shared" si="0"/>
        <v>0</v>
      </c>
      <c r="Q11" s="17">
        <f t="shared" si="0"/>
        <v>0</v>
      </c>
      <c r="R11" s="17">
        <f t="shared" si="0"/>
        <v>0</v>
      </c>
    </row>
    <row r="12" spans="1:18" x14ac:dyDescent="0.25">
      <c r="A12">
        <v>10</v>
      </c>
      <c r="B12" t="s">
        <v>119</v>
      </c>
      <c r="C12">
        <f t="shared" ref="C12:R17" si="1">C23-C3</f>
        <v>0</v>
      </c>
      <c r="D12">
        <f t="shared" si="1"/>
        <v>0</v>
      </c>
      <c r="E12">
        <f t="shared" si="1"/>
        <v>0</v>
      </c>
      <c r="F12">
        <f t="shared" si="1"/>
        <v>0</v>
      </c>
      <c r="G12">
        <f t="shared" si="1"/>
        <v>0</v>
      </c>
      <c r="H12">
        <f t="shared" si="1"/>
        <v>0</v>
      </c>
      <c r="I12">
        <f t="shared" si="1"/>
        <v>0</v>
      </c>
      <c r="J12">
        <f t="shared" si="1"/>
        <v>0</v>
      </c>
      <c r="K12">
        <f t="shared" si="1"/>
        <v>0</v>
      </c>
      <c r="L12">
        <f t="shared" si="1"/>
        <v>0</v>
      </c>
      <c r="M12">
        <f t="shared" si="1"/>
        <v>0</v>
      </c>
      <c r="N12">
        <f t="shared" si="1"/>
        <v>0</v>
      </c>
      <c r="O12">
        <f t="shared" si="1"/>
        <v>0</v>
      </c>
      <c r="P12">
        <f t="shared" si="1"/>
        <v>0</v>
      </c>
      <c r="Q12">
        <f t="shared" si="1"/>
        <v>0</v>
      </c>
      <c r="R12">
        <f t="shared" si="1"/>
        <v>0</v>
      </c>
    </row>
    <row r="13" spans="1:18" x14ac:dyDescent="0.25">
      <c r="A13">
        <v>100</v>
      </c>
      <c r="B13" t="s">
        <v>93</v>
      </c>
      <c r="C13">
        <f t="shared" si="1"/>
        <v>0</v>
      </c>
      <c r="D13">
        <f t="shared" si="1"/>
        <v>0</v>
      </c>
      <c r="E13">
        <f t="shared" si="1"/>
        <v>0</v>
      </c>
      <c r="F13">
        <f t="shared" si="1"/>
        <v>0</v>
      </c>
      <c r="G13">
        <f t="shared" si="1"/>
        <v>0</v>
      </c>
      <c r="H13">
        <f t="shared" si="1"/>
        <v>0</v>
      </c>
      <c r="I13">
        <f t="shared" si="1"/>
        <v>0</v>
      </c>
      <c r="J13">
        <f t="shared" si="1"/>
        <v>0</v>
      </c>
      <c r="K13">
        <f t="shared" si="1"/>
        <v>0</v>
      </c>
      <c r="L13">
        <f t="shared" si="1"/>
        <v>0</v>
      </c>
      <c r="M13">
        <f t="shared" si="1"/>
        <v>0</v>
      </c>
      <c r="N13">
        <f t="shared" si="1"/>
        <v>0</v>
      </c>
      <c r="O13">
        <f t="shared" si="1"/>
        <v>0</v>
      </c>
      <c r="P13">
        <f t="shared" si="1"/>
        <v>0</v>
      </c>
      <c r="Q13">
        <f t="shared" si="1"/>
        <v>0</v>
      </c>
      <c r="R13">
        <f t="shared" si="1"/>
        <v>0</v>
      </c>
    </row>
    <row r="14" spans="1:18" x14ac:dyDescent="0.25">
      <c r="A14">
        <v>1000</v>
      </c>
      <c r="B14" t="s">
        <v>120</v>
      </c>
      <c r="C14">
        <f t="shared" si="1"/>
        <v>0</v>
      </c>
      <c r="D14">
        <f t="shared" si="1"/>
        <v>0</v>
      </c>
      <c r="E14" t="e">
        <f t="shared" si="1"/>
        <v>#VALUE!</v>
      </c>
      <c r="F14">
        <f t="shared" si="1"/>
        <v>0</v>
      </c>
      <c r="G14">
        <f t="shared" si="1"/>
        <v>0</v>
      </c>
      <c r="H14">
        <f t="shared" si="1"/>
        <v>0</v>
      </c>
      <c r="I14">
        <f t="shared" si="1"/>
        <v>0</v>
      </c>
      <c r="J14" t="e">
        <f t="shared" si="1"/>
        <v>#VALUE!</v>
      </c>
      <c r="K14">
        <f t="shared" si="1"/>
        <v>0</v>
      </c>
      <c r="L14">
        <f t="shared" si="1"/>
        <v>0</v>
      </c>
      <c r="M14">
        <f t="shared" si="1"/>
        <v>0</v>
      </c>
      <c r="N14">
        <f t="shared" si="1"/>
        <v>0</v>
      </c>
      <c r="O14">
        <f t="shared" si="1"/>
        <v>0</v>
      </c>
      <c r="P14">
        <f t="shared" si="1"/>
        <v>0</v>
      </c>
      <c r="Q14">
        <f t="shared" si="1"/>
        <v>0</v>
      </c>
      <c r="R14">
        <f t="shared" si="1"/>
        <v>0</v>
      </c>
    </row>
    <row r="15" spans="1:18" x14ac:dyDescent="0.25">
      <c r="A15">
        <v>10000</v>
      </c>
      <c r="B15" t="s">
        <v>94</v>
      </c>
      <c r="C15">
        <f t="shared" si="1"/>
        <v>0</v>
      </c>
      <c r="D15">
        <f t="shared" si="1"/>
        <v>0</v>
      </c>
      <c r="E15">
        <f t="shared" si="1"/>
        <v>0</v>
      </c>
      <c r="F15">
        <f t="shared" si="1"/>
        <v>0</v>
      </c>
      <c r="G15">
        <f t="shared" si="1"/>
        <v>0</v>
      </c>
      <c r="H15">
        <f t="shared" si="1"/>
        <v>0</v>
      </c>
      <c r="I15">
        <f t="shared" si="1"/>
        <v>0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N15">
        <f t="shared" si="1"/>
        <v>0</v>
      </c>
      <c r="O15">
        <f t="shared" si="1"/>
        <v>0</v>
      </c>
      <c r="P15">
        <f t="shared" si="1"/>
        <v>0</v>
      </c>
      <c r="Q15">
        <f t="shared" si="1"/>
        <v>0</v>
      </c>
      <c r="R15">
        <f t="shared" si="1"/>
        <v>0</v>
      </c>
    </row>
    <row r="16" spans="1:18" x14ac:dyDescent="0.25">
      <c r="A16">
        <v>100000</v>
      </c>
      <c r="B16" t="s">
        <v>95</v>
      </c>
      <c r="C16" t="e">
        <f t="shared" si="1"/>
        <v>#VALUE!</v>
      </c>
      <c r="D16">
        <f t="shared" si="1"/>
        <v>0</v>
      </c>
      <c r="E16">
        <f t="shared" si="1"/>
        <v>0</v>
      </c>
      <c r="F16">
        <f t="shared" si="1"/>
        <v>0</v>
      </c>
      <c r="G16">
        <f t="shared" si="1"/>
        <v>0</v>
      </c>
      <c r="H16">
        <f t="shared" si="1"/>
        <v>0</v>
      </c>
      <c r="I16">
        <f t="shared" si="1"/>
        <v>0</v>
      </c>
      <c r="J16">
        <f t="shared" si="1"/>
        <v>0</v>
      </c>
      <c r="K16">
        <f t="shared" si="1"/>
        <v>0</v>
      </c>
      <c r="L16">
        <f t="shared" si="1"/>
        <v>0</v>
      </c>
      <c r="M16">
        <f t="shared" si="1"/>
        <v>0</v>
      </c>
      <c r="N16">
        <f t="shared" si="1"/>
        <v>0</v>
      </c>
      <c r="O16">
        <f t="shared" si="1"/>
        <v>0</v>
      </c>
      <c r="P16">
        <f t="shared" si="1"/>
        <v>0</v>
      </c>
      <c r="Q16">
        <f t="shared" si="1"/>
        <v>0</v>
      </c>
      <c r="R16">
        <f t="shared" si="1"/>
        <v>0</v>
      </c>
    </row>
    <row r="17" spans="1:18" x14ac:dyDescent="0.25">
      <c r="A17">
        <v>1000000</v>
      </c>
      <c r="B17" t="s">
        <v>121</v>
      </c>
      <c r="C17">
        <f t="shared" si="1"/>
        <v>0</v>
      </c>
      <c r="D17">
        <f t="shared" si="1"/>
        <v>0</v>
      </c>
      <c r="E17">
        <f t="shared" si="1"/>
        <v>0</v>
      </c>
      <c r="F17" t="e">
        <f t="shared" si="1"/>
        <v>#VALUE!</v>
      </c>
      <c r="G17">
        <f t="shared" si="1"/>
        <v>0</v>
      </c>
      <c r="H17">
        <f t="shared" si="1"/>
        <v>0</v>
      </c>
      <c r="I17">
        <f t="shared" si="1"/>
        <v>0</v>
      </c>
      <c r="J17">
        <f t="shared" si="1"/>
        <v>0</v>
      </c>
      <c r="K17">
        <f t="shared" si="1"/>
        <v>0</v>
      </c>
      <c r="L17">
        <f t="shared" si="1"/>
        <v>0</v>
      </c>
      <c r="M17">
        <f t="shared" si="1"/>
        <v>0</v>
      </c>
      <c r="N17">
        <f t="shared" si="1"/>
        <v>0</v>
      </c>
      <c r="O17">
        <f t="shared" si="1"/>
        <v>0</v>
      </c>
      <c r="P17">
        <f t="shared" si="1"/>
        <v>0</v>
      </c>
      <c r="Q17">
        <f t="shared" si="1"/>
        <v>0</v>
      </c>
      <c r="R17">
        <f t="shared" si="1"/>
        <v>0</v>
      </c>
    </row>
    <row r="21" spans="1:18" x14ac:dyDescent="0.25">
      <c r="A21" t="s">
        <v>97</v>
      </c>
      <c r="C21" t="s">
        <v>111</v>
      </c>
      <c r="D21" t="s">
        <v>112</v>
      </c>
      <c r="E21" t="s">
        <v>113</v>
      </c>
      <c r="F21" t="s">
        <v>114</v>
      </c>
      <c r="G21" t="s">
        <v>115</v>
      </c>
      <c r="H21" t="s">
        <v>116</v>
      </c>
      <c r="I21" t="s">
        <v>117</v>
      </c>
      <c r="J21" t="s">
        <v>118</v>
      </c>
      <c r="K21" t="s">
        <v>0</v>
      </c>
      <c r="L21" t="s">
        <v>1</v>
      </c>
      <c r="M21" t="s">
        <v>2</v>
      </c>
      <c r="N21" t="s">
        <v>3</v>
      </c>
      <c r="O21" t="s">
        <v>4</v>
      </c>
      <c r="P21" t="s">
        <v>5</v>
      </c>
      <c r="Q21" t="s">
        <v>6</v>
      </c>
      <c r="R21" t="s">
        <v>7</v>
      </c>
    </row>
    <row r="22" spans="1:18" x14ac:dyDescent="0.25">
      <c r="A22">
        <v>1</v>
      </c>
      <c r="B22" t="s">
        <v>92</v>
      </c>
      <c r="C22" s="17">
        <f>m4.10xlarge!Q16</f>
        <v>1.6013578494850616E-2</v>
      </c>
      <c r="D22" s="17">
        <f>m3.large!Q16</f>
        <v>0.62098558260313974</v>
      </c>
      <c r="E22" s="17">
        <f>m3.2xlarge!Q16</f>
        <v>0.15520131740598758</v>
      </c>
      <c r="F22" s="17">
        <f>c3.8xlarge!Q16</f>
        <v>3.4410567009311589E-2</v>
      </c>
      <c r="G22" s="17">
        <f>g2.2xlarge!Q16</f>
        <v>5.0217546654247949E-3</v>
      </c>
      <c r="H22" s="17">
        <f>r3.4xlarge!Q16</f>
        <v>7.8004119135633446E-2</v>
      </c>
      <c r="I22" s="17">
        <f>i2.8xlarge!Q16</f>
        <v>3.9597294878377147E-2</v>
      </c>
      <c r="J22" s="17">
        <f>d2.8xlarge!Q16</f>
        <v>1.7948583451546086E-2</v>
      </c>
      <c r="K22" s="17">
        <f>Sheet1!$I$3/Sheet1!$M$3</f>
        <v>3.1171875000000002E-3</v>
      </c>
      <c r="L22" s="17">
        <f>Sheet1!$I$4/Sheet1!$M$4</f>
        <v>6.6500000000000005E-3</v>
      </c>
      <c r="M22" s="17">
        <f>Sheet1!$I$5/Sheet1!$M$5</f>
        <v>6.6500000000000005E-3</v>
      </c>
      <c r="N22" s="17">
        <f>Sheet1!$I$6/Sheet1!$M$6</f>
        <v>4.6874999999999998E-3</v>
      </c>
      <c r="O22" s="17">
        <f>Sheet1!$I$7/Sheet1!$M$7</f>
        <v>2.567546215831885E-4</v>
      </c>
      <c r="P22" s="17">
        <f>Sheet1!$I$8/Sheet1!$M$8</f>
        <v>8.3125000000000004E-3</v>
      </c>
      <c r="Q22" s="17">
        <f>Sheet1!$I$9/Sheet1!$M$9</f>
        <v>2.1312500000000002E-2</v>
      </c>
      <c r="R22" s="17">
        <f>Sheet1!$I$10/Sheet1!$M$10</f>
        <v>7.9861111111111105E-3</v>
      </c>
    </row>
    <row r="23" spans="1:18" x14ac:dyDescent="0.25">
      <c r="A23">
        <v>10</v>
      </c>
      <c r="B23" t="s">
        <v>119</v>
      </c>
      <c r="C23" s="17">
        <f>m4.10xlarge!Q17</f>
        <v>1.6013578494850616E-2</v>
      </c>
      <c r="D23" s="17">
        <f>m3.large!Q17</f>
        <v>0.62098558260313974</v>
      </c>
      <c r="E23" s="17">
        <f>m3.2xlarge!Q17</f>
        <v>0.15520131740598758</v>
      </c>
      <c r="F23" s="17">
        <f>c3.8xlarge!Q17</f>
        <v>3.4410567009311589E-2</v>
      </c>
      <c r="G23" s="17">
        <f>g2.2xlarge!Q17</f>
        <v>5.0217546654247949E-3</v>
      </c>
      <c r="H23" s="17">
        <f>r3.4xlarge!Q17</f>
        <v>7.8004119135633446E-2</v>
      </c>
      <c r="I23" s="17">
        <f>i2.8xlarge!Q17</f>
        <v>3.9597294878377147E-2</v>
      </c>
      <c r="J23" s="17">
        <f>d2.8xlarge!Q17</f>
        <v>1.7948583451546086E-2</v>
      </c>
      <c r="K23" s="17">
        <f>Sheet1!$I$3/Sheet1!$M$3</f>
        <v>3.1171875000000002E-3</v>
      </c>
      <c r="L23" s="17">
        <f>Sheet1!$I$4/Sheet1!$M$4</f>
        <v>6.6500000000000005E-3</v>
      </c>
      <c r="M23" s="17">
        <f>Sheet1!$I$5/Sheet1!$M$5</f>
        <v>6.6500000000000005E-3</v>
      </c>
      <c r="N23" s="17">
        <f>Sheet1!$I$6/Sheet1!$M$6</f>
        <v>4.6874999999999998E-3</v>
      </c>
      <c r="O23" s="17">
        <f>Sheet1!$I$7/Sheet1!$M$7</f>
        <v>2.567546215831885E-4</v>
      </c>
      <c r="P23" s="17">
        <f>Sheet1!$I$8/Sheet1!$M$8</f>
        <v>8.3125000000000004E-3</v>
      </c>
      <c r="Q23" s="17">
        <f>Sheet1!$I$9/Sheet1!$M$9</f>
        <v>2.1312500000000002E-2</v>
      </c>
      <c r="R23" s="17">
        <f>Sheet1!$I$10/Sheet1!$M$10</f>
        <v>7.9861111111111105E-3</v>
      </c>
    </row>
    <row r="24" spans="1:18" x14ac:dyDescent="0.25">
      <c r="A24">
        <v>100</v>
      </c>
      <c r="B24" t="s">
        <v>93</v>
      </c>
      <c r="C24" s="17">
        <f>m4.10xlarge!Q18</f>
        <v>1.6013578494850616E-2</v>
      </c>
      <c r="D24" s="17">
        <f>m3.large!Q18</f>
        <v>0.12419711652062794</v>
      </c>
      <c r="E24" s="17">
        <f>m3.2xlarge!Q18</f>
        <v>7.7600658702993791E-2</v>
      </c>
      <c r="F24" s="17">
        <f>c3.8xlarge!Q18</f>
        <v>3.4410567009311589E-2</v>
      </c>
      <c r="G24" s="17">
        <f>g2.2xlarge!Q18</f>
        <v>5.0217546654247949E-3</v>
      </c>
      <c r="H24" s="17">
        <f>r3.4xlarge!Q18</f>
        <v>7.8004119135633446E-2</v>
      </c>
      <c r="I24" s="17">
        <f>i2.8xlarge!Q18</f>
        <v>3.9597294878377147E-2</v>
      </c>
      <c r="J24" s="17">
        <f>d2.8xlarge!Q18</f>
        <v>1.7948583451546086E-2</v>
      </c>
      <c r="K24" s="17">
        <f>Sheet1!$I$3/Sheet1!$M$3</f>
        <v>3.1171875000000002E-3</v>
      </c>
      <c r="L24" s="17">
        <f>Sheet1!$I$4/Sheet1!$M$4</f>
        <v>6.6500000000000005E-3</v>
      </c>
      <c r="M24" s="17">
        <f>Sheet1!$I$5/Sheet1!$M$5</f>
        <v>6.6500000000000005E-3</v>
      </c>
      <c r="N24" s="17">
        <f>Sheet1!$I$6/Sheet1!$M$6</f>
        <v>4.6874999999999998E-3</v>
      </c>
      <c r="O24" s="17">
        <f>Sheet1!$I$7/Sheet1!$M$7</f>
        <v>2.567546215831885E-4</v>
      </c>
      <c r="P24" s="17">
        <f>Sheet1!$I$8/Sheet1!$M$8</f>
        <v>8.3125000000000004E-3</v>
      </c>
      <c r="Q24" s="17">
        <f>Sheet1!$I$9/Sheet1!$M$9</f>
        <v>2.1312500000000002E-2</v>
      </c>
      <c r="R24" s="17">
        <f>Sheet1!$I$10/Sheet1!$M$10</f>
        <v>7.9861111111111105E-3</v>
      </c>
    </row>
    <row r="25" spans="1:18" x14ac:dyDescent="0.25">
      <c r="A25">
        <v>1000</v>
      </c>
      <c r="B25" t="s">
        <v>120</v>
      </c>
      <c r="C25" s="17">
        <f>m4.10xlarge!Q19</f>
        <v>8.1193361110160345E-3</v>
      </c>
      <c r="D25" s="17">
        <f>m3.large!Q19</f>
        <v>1.2713867002555675E-2</v>
      </c>
      <c r="E25" s="17">
        <f>m3.2xlarge!Q19</f>
        <v>1.2217937003257786E-2</v>
      </c>
      <c r="F25" s="17">
        <f>c3.8xlarge!Q19</f>
        <v>1.1855588769784226E-2</v>
      </c>
      <c r="G25" s="17">
        <f>g2.2xlarge!Q19</f>
        <v>5.0217546654247949E-3</v>
      </c>
      <c r="H25" s="17">
        <f>r3.4xlarge!Q19</f>
        <v>1.1460501626636414E-2</v>
      </c>
      <c r="I25" s="17">
        <f>i2.8xlarge!Q19</f>
        <v>1.0325556578587077E-2</v>
      </c>
      <c r="J25" s="17">
        <f>d2.8xlarge!Q19</f>
        <v>9.1772030250632155E-3</v>
      </c>
      <c r="K25" s="17">
        <f>Sheet1!$I$3/Sheet1!$M$3</f>
        <v>3.1171875000000002E-3</v>
      </c>
      <c r="L25" s="17">
        <f>Sheet1!$I$4/Sheet1!$M$4</f>
        <v>6.6500000000000005E-3</v>
      </c>
      <c r="M25" s="17">
        <f>Sheet1!$I$5/Sheet1!$M$5</f>
        <v>6.6500000000000005E-3</v>
      </c>
      <c r="N25" s="17">
        <f>Sheet1!$I$6/Sheet1!$M$6</f>
        <v>4.6874999999999998E-3</v>
      </c>
      <c r="O25" s="17">
        <f>Sheet1!$I$7/Sheet1!$M$7</f>
        <v>2.567546215831885E-4</v>
      </c>
      <c r="P25" s="17">
        <f>Sheet1!$I$8/Sheet1!$M$8</f>
        <v>8.3125000000000004E-3</v>
      </c>
      <c r="Q25" s="17">
        <f>Sheet1!$I$9/Sheet1!$M$9</f>
        <v>2.1312500000000002E-2</v>
      </c>
      <c r="R25" s="17">
        <f>Sheet1!$I$10/Sheet1!$M$10</f>
        <v>7.9861111111111105E-3</v>
      </c>
    </row>
    <row r="26" spans="1:18" x14ac:dyDescent="0.25">
      <c r="A26">
        <v>10000</v>
      </c>
      <c r="B26" t="s">
        <v>94</v>
      </c>
      <c r="C26" s="17">
        <f>m4.10xlarge!Q20</f>
        <v>1.3528426391578217E-3</v>
      </c>
      <c r="D26" s="17">
        <f>m3.large!Q20</f>
        <v>1.5368915156991605E-3</v>
      </c>
      <c r="E26" s="17">
        <f>m3.2xlarge!Q20</f>
        <v>1.5321596301569914E-3</v>
      </c>
      <c r="F26" s="17">
        <f>c3.8xlarge!Q20</f>
        <v>1.7871643723549114E-3</v>
      </c>
      <c r="G26" s="17">
        <f>g2.2xlarge!Q20</f>
        <v>1.2554386663561987E-3</v>
      </c>
      <c r="H26" s="17">
        <f>r3.4xlarge!Q20</f>
        <v>1.5904451054579065E-3</v>
      </c>
      <c r="I26" s="17">
        <f>i2.8xlarge!Q20</f>
        <v>1.7709536090027723E-3</v>
      </c>
      <c r="J26" s="17">
        <f>d2.8xlarge!Q20</f>
        <v>1.5753399887780642E-3</v>
      </c>
      <c r="K26" s="17">
        <f>Sheet1!$I$3/Sheet1!$M$3</f>
        <v>3.1171875000000002E-3</v>
      </c>
      <c r="L26" s="17">
        <f>Sheet1!$I$4/Sheet1!$M$4</f>
        <v>6.6500000000000005E-3</v>
      </c>
      <c r="M26" s="17">
        <f>Sheet1!$I$5/Sheet1!$M$5</f>
        <v>6.6500000000000005E-3</v>
      </c>
      <c r="N26" s="17">
        <f>Sheet1!$I$6/Sheet1!$M$6</f>
        <v>4.6874999999999998E-3</v>
      </c>
      <c r="O26" s="17">
        <f>Sheet1!$I$7/Sheet1!$M$7</f>
        <v>2.567546215831885E-4</v>
      </c>
      <c r="P26" s="17">
        <f>Sheet1!$I$8/Sheet1!$M$8</f>
        <v>8.3125000000000004E-3</v>
      </c>
      <c r="Q26" s="17">
        <f>Sheet1!$I$9/Sheet1!$M$9</f>
        <v>2.1312500000000002E-2</v>
      </c>
      <c r="R26" s="17">
        <f>Sheet1!$I$10/Sheet1!$M$10</f>
        <v>7.9861111111111105E-3</v>
      </c>
    </row>
    <row r="27" spans="1:18" x14ac:dyDescent="0.25">
      <c r="A27">
        <v>100000</v>
      </c>
      <c r="B27" t="s">
        <v>95</v>
      </c>
      <c r="C27" s="17">
        <f>m4.10xlarge!Q21</f>
        <v>3.5022513446830342E-4</v>
      </c>
      <c r="D27" s="17">
        <f>m3.large!Q21</f>
        <v>4.3211315171595466E-4</v>
      </c>
      <c r="E27" s="17">
        <f>m3.2xlarge!Q21</f>
        <v>4.279440791529755E-4</v>
      </c>
      <c r="F27" s="17">
        <f>c3.8xlarge!Q21</f>
        <v>7.0275782829689573E-4</v>
      </c>
      <c r="G27" s="17">
        <f>g2.2xlarge!Q21</f>
        <v>1.6035492344274759E-4</v>
      </c>
      <c r="H27" s="17">
        <f>r3.4xlarge!Q21</f>
        <v>4.9534293183643664E-4</v>
      </c>
      <c r="I27" s="17">
        <f>i2.8xlarge!Q21</f>
        <v>6.9499500417805396E-4</v>
      </c>
      <c r="J27" s="17">
        <f>d2.8xlarge!Q21</f>
        <v>5.2868540493391191E-4</v>
      </c>
      <c r="K27" s="17">
        <f>Sheet1!$I$3/Sheet1!$M$3</f>
        <v>3.1171875000000002E-3</v>
      </c>
      <c r="L27" s="17">
        <f>Sheet1!$I$4/Sheet1!$M$4</f>
        <v>6.6500000000000005E-3</v>
      </c>
      <c r="M27" s="17">
        <f>Sheet1!$I$5/Sheet1!$M$5</f>
        <v>6.6500000000000005E-3</v>
      </c>
      <c r="N27" s="17">
        <f>Sheet1!$I$6/Sheet1!$M$6</f>
        <v>4.6874999999999998E-3</v>
      </c>
      <c r="O27" s="17">
        <f>Sheet1!$I$7/Sheet1!$M$7</f>
        <v>2.567546215831885E-4</v>
      </c>
      <c r="P27" s="17">
        <f>Sheet1!$I$8/Sheet1!$M$8</f>
        <v>8.3125000000000004E-3</v>
      </c>
      <c r="Q27" s="17">
        <f>Sheet1!$I$9/Sheet1!$M$9</f>
        <v>2.1312500000000002E-2</v>
      </c>
      <c r="R27" s="17">
        <f>Sheet1!$I$10/Sheet1!$M$10</f>
        <v>7.9861111111111105E-3</v>
      </c>
    </row>
    <row r="28" spans="1:18" x14ac:dyDescent="0.25">
      <c r="A28">
        <v>1000000</v>
      </c>
      <c r="B28" t="s">
        <v>121</v>
      </c>
      <c r="C28" s="17">
        <f>m4.10xlarge!Q$22</f>
        <v>2.5609260709887033E-4</v>
      </c>
      <c r="D28" s="17">
        <f>m3.large!Q$22</f>
        <v>3.343956703577948E-4</v>
      </c>
      <c r="E28" s="17">
        <f>m3.2xlarge!Q$22</f>
        <v>3.2941394787148597E-4</v>
      </c>
      <c r="F28" s="17">
        <f>c3.8xlarge!Q$22</f>
        <v>6.1964992522083213E-4</v>
      </c>
      <c r="G28" s="17">
        <f>g2.2xlarge!Q$22</f>
        <v>5.0839240741864465E-5</v>
      </c>
      <c r="H28" s="17">
        <f>r3.4xlarge!Q$22</f>
        <v>3.9582972120116839E-4</v>
      </c>
      <c r="I28" s="17">
        <f>i2.8xlarge!Q$22</f>
        <v>5.9637813315443588E-4</v>
      </c>
      <c r="J28" s="17">
        <f>d2.8xlarge!Q$22</f>
        <v>4.3241385428097851E-4</v>
      </c>
      <c r="K28" s="17">
        <f>Sheet1!$I$3/Sheet1!$M$3</f>
        <v>3.1171875000000002E-3</v>
      </c>
      <c r="L28" s="17">
        <f>Sheet1!$I$4/Sheet1!$M$4</f>
        <v>6.6500000000000005E-3</v>
      </c>
      <c r="M28" s="17">
        <f>Sheet1!$I$5/Sheet1!$M$5</f>
        <v>6.6500000000000005E-3</v>
      </c>
      <c r="N28" s="17">
        <f>Sheet1!$I$6/Sheet1!$M$6</f>
        <v>4.6874999999999998E-3</v>
      </c>
      <c r="O28" s="17">
        <f>Sheet1!$I$7/Sheet1!$M$7</f>
        <v>2.567546215831885E-4</v>
      </c>
      <c r="P28" s="17">
        <f>Sheet1!$I$8/Sheet1!$M$8</f>
        <v>8.3125000000000004E-3</v>
      </c>
      <c r="Q28" s="17">
        <f>Sheet1!$I$9/Sheet1!$M$9</f>
        <v>2.1312500000000002E-2</v>
      </c>
      <c r="R28" s="17">
        <f>Sheet1!$I$10/Sheet1!$M$10</f>
        <v>7.9861111111111105E-3</v>
      </c>
    </row>
    <row r="41" spans="2:2" x14ac:dyDescent="0.25">
      <c r="B41" s="11"/>
    </row>
    <row r="57" spans="1:18" x14ac:dyDescent="0.25">
      <c r="C57">
        <f t="shared" ref="C57:J57" si="2">(INTERCEPT(C22:C28,$A$22:$A$28)-INTERCEPT(K22:K28,$A$22:$A$28))/(SLOPE(K22:K28,$A$22:$A$28)-SLOPE(C22:C28,$A$22:$A$28))</f>
        <v>643917.87935657904</v>
      </c>
      <c r="D57">
        <f t="shared" si="2"/>
        <v>885209.76138549251</v>
      </c>
      <c r="E57">
        <f t="shared" si="2"/>
        <v>826590.05333510414</v>
      </c>
      <c r="F57">
        <f t="shared" si="2"/>
        <v>722525.06945358589</v>
      </c>
      <c r="G57">
        <f t="shared" si="2"/>
        <v>864046.35294135066</v>
      </c>
      <c r="H57">
        <f t="shared" si="2"/>
        <v>740114.68574780668</v>
      </c>
      <c r="I57">
        <f t="shared" si="2"/>
        <v>58856.189580282713</v>
      </c>
      <c r="J57">
        <f t="shared" si="2"/>
        <v>274976.81858834595</v>
      </c>
    </row>
    <row r="58" spans="1:18" x14ac:dyDescent="0.25">
      <c r="C58">
        <f t="shared" ref="C58:J58" si="3">SLOPE(K22:K28,$A$22:$A$28)*C57+INTERCEPT(K22:K28,$A$22:$A$28)</f>
        <v>3.1171875000000002E-3</v>
      </c>
      <c r="D58">
        <f t="shared" si="3"/>
        <v>6.6500000000000014E-3</v>
      </c>
      <c r="E58">
        <f t="shared" si="3"/>
        <v>6.6500000000000014E-3</v>
      </c>
      <c r="F58">
        <f t="shared" si="3"/>
        <v>4.6874999999999998E-3</v>
      </c>
      <c r="G58">
        <f t="shared" si="3"/>
        <v>2.567546215831885E-4</v>
      </c>
      <c r="H58">
        <f t="shared" si="3"/>
        <v>8.3125000000000004E-3</v>
      </c>
      <c r="I58">
        <f t="shared" si="3"/>
        <v>2.1312500000000005E-2</v>
      </c>
      <c r="J58">
        <f t="shared" si="3"/>
        <v>7.9861111111111105E-3</v>
      </c>
    </row>
    <row r="59" spans="1:18" x14ac:dyDescent="0.25">
      <c r="C59">
        <f>IF(C57&lt;A89,1,0)</f>
        <v>0</v>
      </c>
    </row>
    <row r="60" spans="1:18" x14ac:dyDescent="0.25">
      <c r="A60" t="s">
        <v>97</v>
      </c>
      <c r="C60" t="s">
        <v>111</v>
      </c>
      <c r="D60" t="s">
        <v>112</v>
      </c>
      <c r="E60" t="s">
        <v>113</v>
      </c>
      <c r="F60" t="s">
        <v>114</v>
      </c>
      <c r="G60" t="s">
        <v>115</v>
      </c>
      <c r="H60" t="s">
        <v>116</v>
      </c>
      <c r="I60" t="s">
        <v>117</v>
      </c>
      <c r="J60" t="s">
        <v>118</v>
      </c>
      <c r="K60" t="s">
        <v>0</v>
      </c>
      <c r="L60" t="s">
        <v>1</v>
      </c>
      <c r="M60" t="s">
        <v>2</v>
      </c>
      <c r="N60" t="s">
        <v>3</v>
      </c>
      <c r="O60" t="s">
        <v>4</v>
      </c>
      <c r="P60" t="s">
        <v>5</v>
      </c>
      <c r="Q60" t="s">
        <v>6</v>
      </c>
      <c r="R60" t="s">
        <v>7</v>
      </c>
    </row>
    <row r="61" spans="1:18" x14ac:dyDescent="0.25">
      <c r="A61">
        <v>1</v>
      </c>
      <c r="B61" t="s">
        <v>92</v>
      </c>
      <c r="C61" s="17"/>
      <c r="D61" s="17"/>
      <c r="E61" s="17"/>
      <c r="F61" s="17"/>
      <c r="G61" s="17"/>
      <c r="H61" s="17"/>
      <c r="I61" s="17"/>
      <c r="J61" s="17"/>
      <c r="K61" s="17">
        <f>K$22</f>
        <v>3.1171875000000002E-3</v>
      </c>
      <c r="L61" s="17">
        <f t="shared" ref="L61:R74" si="4">L$22</f>
        <v>6.6500000000000005E-3</v>
      </c>
      <c r="M61" s="17">
        <f t="shared" si="4"/>
        <v>6.6500000000000005E-3</v>
      </c>
      <c r="N61" s="17">
        <f t="shared" si="4"/>
        <v>4.6874999999999998E-3</v>
      </c>
      <c r="O61" s="17">
        <f t="shared" si="4"/>
        <v>2.567546215831885E-4</v>
      </c>
      <c r="P61" s="17">
        <f t="shared" si="4"/>
        <v>8.3125000000000004E-3</v>
      </c>
      <c r="Q61" s="17">
        <f t="shared" si="4"/>
        <v>2.1312500000000002E-2</v>
      </c>
      <c r="R61" s="17">
        <f t="shared" si="4"/>
        <v>7.9861111111111105E-3</v>
      </c>
    </row>
    <row r="62" spans="1:18" x14ac:dyDescent="0.25">
      <c r="A62">
        <v>10</v>
      </c>
      <c r="B62" t="s">
        <v>119</v>
      </c>
      <c r="C62" s="17"/>
      <c r="D62" s="17"/>
      <c r="E62" s="17"/>
      <c r="F62" s="17"/>
      <c r="G62" s="17"/>
      <c r="H62" s="17"/>
      <c r="I62" s="17"/>
      <c r="J62" s="17"/>
      <c r="K62" s="17">
        <f t="shared" ref="K62:K74" si="5">K$22</f>
        <v>3.1171875000000002E-3</v>
      </c>
      <c r="L62" s="17">
        <f t="shared" si="4"/>
        <v>6.6500000000000005E-3</v>
      </c>
      <c r="M62" s="17">
        <f t="shared" si="4"/>
        <v>6.6500000000000005E-3</v>
      </c>
      <c r="N62" s="17">
        <f t="shared" si="4"/>
        <v>4.6874999999999998E-3</v>
      </c>
      <c r="O62" s="17">
        <f t="shared" si="4"/>
        <v>2.567546215831885E-4</v>
      </c>
      <c r="P62" s="17">
        <f t="shared" si="4"/>
        <v>8.3125000000000004E-3</v>
      </c>
      <c r="Q62" s="17">
        <f t="shared" si="4"/>
        <v>2.1312500000000002E-2</v>
      </c>
      <c r="R62" s="17">
        <f t="shared" si="4"/>
        <v>7.9861111111111105E-3</v>
      </c>
    </row>
    <row r="63" spans="1:18" x14ac:dyDescent="0.25">
      <c r="A63">
        <v>100</v>
      </c>
      <c r="B63" t="s">
        <v>93</v>
      </c>
      <c r="C63" s="17"/>
      <c r="D63" s="17"/>
      <c r="E63" s="17"/>
      <c r="F63" s="17"/>
      <c r="G63" s="17"/>
      <c r="H63" s="17"/>
      <c r="I63" s="17"/>
      <c r="J63" s="17"/>
      <c r="K63" s="17">
        <f t="shared" si="5"/>
        <v>3.1171875000000002E-3</v>
      </c>
      <c r="L63" s="17">
        <f t="shared" si="4"/>
        <v>6.6500000000000005E-3</v>
      </c>
      <c r="M63" s="17">
        <f t="shared" si="4"/>
        <v>6.6500000000000005E-3</v>
      </c>
      <c r="N63" s="17">
        <f t="shared" si="4"/>
        <v>4.6874999999999998E-3</v>
      </c>
      <c r="O63" s="17">
        <f t="shared" si="4"/>
        <v>2.567546215831885E-4</v>
      </c>
      <c r="P63" s="17">
        <f t="shared" si="4"/>
        <v>8.3125000000000004E-3</v>
      </c>
      <c r="Q63" s="17">
        <f t="shared" si="4"/>
        <v>2.1312500000000002E-2</v>
      </c>
      <c r="R63" s="17">
        <f t="shared" si="4"/>
        <v>7.9861111111111105E-3</v>
      </c>
    </row>
    <row r="64" spans="1:18" x14ac:dyDescent="0.25">
      <c r="A64">
        <v>625</v>
      </c>
      <c r="B64" t="s">
        <v>139</v>
      </c>
      <c r="C64" s="17"/>
      <c r="D64" s="17"/>
      <c r="E64" s="17"/>
      <c r="F64" s="17"/>
      <c r="G64" s="17"/>
      <c r="H64" s="17"/>
      <c r="I64" s="17">
        <f>i2.8xlarge!Q23</f>
        <v>1.9798647439188573E-2</v>
      </c>
      <c r="J64" s="17"/>
      <c r="K64" s="17">
        <f t="shared" si="5"/>
        <v>3.1171875000000002E-3</v>
      </c>
      <c r="L64" s="17">
        <f t="shared" si="4"/>
        <v>6.6500000000000005E-3</v>
      </c>
      <c r="M64" s="17">
        <f t="shared" si="4"/>
        <v>6.6500000000000005E-3</v>
      </c>
      <c r="N64" s="17">
        <f t="shared" si="4"/>
        <v>4.6874999999999998E-3</v>
      </c>
      <c r="O64" s="17">
        <f t="shared" si="4"/>
        <v>2.567546215831885E-4</v>
      </c>
      <c r="P64" s="17">
        <f t="shared" si="4"/>
        <v>8.3125000000000004E-3</v>
      </c>
      <c r="Q64" s="17">
        <f t="shared" si="4"/>
        <v>2.1312500000000002E-2</v>
      </c>
      <c r="R64" s="17">
        <f t="shared" si="4"/>
        <v>7.9861111111111105E-3</v>
      </c>
    </row>
    <row r="65" spans="1:18" x14ac:dyDescent="0.25">
      <c r="A65">
        <v>1000</v>
      </c>
      <c r="B65" t="s">
        <v>120</v>
      </c>
      <c r="C65" s="17"/>
      <c r="D65" s="17"/>
      <c r="E65" s="17"/>
      <c r="F65" s="17"/>
      <c r="G65" s="17"/>
      <c r="H65" s="17"/>
      <c r="I65" s="17">
        <f>I25</f>
        <v>1.0325556578587077E-2</v>
      </c>
      <c r="J65" s="17"/>
      <c r="K65" s="17">
        <f t="shared" si="5"/>
        <v>3.1171875000000002E-3</v>
      </c>
      <c r="L65" s="17">
        <f t="shared" si="4"/>
        <v>6.6500000000000005E-3</v>
      </c>
      <c r="M65" s="17">
        <f t="shared" si="4"/>
        <v>6.6500000000000005E-3</v>
      </c>
      <c r="N65" s="17">
        <f t="shared" si="4"/>
        <v>4.6874999999999998E-3</v>
      </c>
      <c r="O65" s="17">
        <f t="shared" si="4"/>
        <v>2.567546215831885E-4</v>
      </c>
      <c r="P65" s="17">
        <f t="shared" si="4"/>
        <v>8.3125000000000004E-3</v>
      </c>
      <c r="Q65" s="17">
        <f t="shared" si="4"/>
        <v>2.1312500000000002E-2</v>
      </c>
      <c r="R65" s="17">
        <f t="shared" si="4"/>
        <v>7.9861111111111105E-3</v>
      </c>
    </row>
    <row r="66" spans="1:18" x14ac:dyDescent="0.25">
      <c r="A66">
        <v>1375</v>
      </c>
      <c r="B66" t="s">
        <v>137</v>
      </c>
      <c r="C66" s="17"/>
      <c r="D66" s="17"/>
      <c r="E66" s="17"/>
      <c r="F66" s="17"/>
      <c r="G66" s="17"/>
      <c r="H66" s="17"/>
      <c r="I66" s="17">
        <f>i2.8xlarge!Q24</f>
        <v>8.2604452628696617E-3</v>
      </c>
      <c r="J66" s="17">
        <f>d2.8xlarge!Q23</f>
        <v>9.1772030250632155E-3</v>
      </c>
      <c r="K66" s="17">
        <f t="shared" si="5"/>
        <v>3.1171875000000002E-3</v>
      </c>
      <c r="L66" s="17">
        <f t="shared" si="4"/>
        <v>6.6500000000000005E-3</v>
      </c>
      <c r="M66" s="17">
        <f t="shared" si="4"/>
        <v>6.6500000000000005E-3</v>
      </c>
      <c r="N66" s="17">
        <f t="shared" si="4"/>
        <v>4.6874999999999998E-3</v>
      </c>
      <c r="O66" s="17">
        <f t="shared" si="4"/>
        <v>2.567546215831885E-4</v>
      </c>
      <c r="P66" s="17">
        <f t="shared" si="4"/>
        <v>8.3125000000000004E-3</v>
      </c>
      <c r="Q66" s="17">
        <f t="shared" si="4"/>
        <v>2.1312500000000002E-2</v>
      </c>
      <c r="R66" s="17">
        <f t="shared" si="4"/>
        <v>7.9861111111111105E-3</v>
      </c>
    </row>
    <row r="67" spans="1:18" x14ac:dyDescent="0.25">
      <c r="A67">
        <v>1600</v>
      </c>
      <c r="B67" t="s">
        <v>138</v>
      </c>
      <c r="C67" s="17"/>
      <c r="D67" s="17"/>
      <c r="E67" s="17"/>
      <c r="F67" s="17"/>
      <c r="G67" s="17"/>
      <c r="H67" s="17">
        <f>r3.4xlarge!Q23</f>
        <v>8.0223511386454897E-3</v>
      </c>
      <c r="I67" s="17">
        <f>i2.8xlarge!Q25</f>
        <v>8.2604452628696617E-3</v>
      </c>
      <c r="J67" s="17">
        <f>d2.8xlarge!Q24</f>
        <v>6.2534095495689265E-3</v>
      </c>
      <c r="K67" s="17">
        <f t="shared" si="5"/>
        <v>3.1171875000000002E-3</v>
      </c>
      <c r="L67" s="17">
        <f t="shared" si="4"/>
        <v>6.6500000000000005E-3</v>
      </c>
      <c r="M67" s="17">
        <f t="shared" si="4"/>
        <v>6.6500000000000005E-3</v>
      </c>
      <c r="N67" s="17">
        <f t="shared" si="4"/>
        <v>4.6874999999999998E-3</v>
      </c>
      <c r="O67" s="17">
        <f t="shared" si="4"/>
        <v>2.567546215831885E-4</v>
      </c>
      <c r="P67" s="17">
        <f t="shared" si="4"/>
        <v>8.3125000000000004E-3</v>
      </c>
      <c r="Q67" s="17">
        <f t="shared" si="4"/>
        <v>2.1312500000000002E-2</v>
      </c>
      <c r="R67" s="17">
        <f t="shared" si="4"/>
        <v>7.9861111111111105E-3</v>
      </c>
    </row>
    <row r="68" spans="1:18" x14ac:dyDescent="0.25">
      <c r="A68">
        <v>1900</v>
      </c>
      <c r="B68" t="s">
        <v>130</v>
      </c>
      <c r="C68" s="17"/>
      <c r="D68" s="17">
        <f>m3.large!Q23</f>
        <v>6.6915089487135137E-3</v>
      </c>
      <c r="E68" s="17">
        <f>m3.2xlarge!Q23</f>
        <v>6.6180492100979676E-3</v>
      </c>
      <c r="F68" s="17"/>
      <c r="G68" s="17"/>
      <c r="H68" s="17">
        <f>r3.4xlarge!Q24</f>
        <v>6.6852926155379086E-3</v>
      </c>
      <c r="I68" s="17">
        <f>i2.8xlarge!Q26</f>
        <v>6.8837043857247178E-3</v>
      </c>
      <c r="J68" s="17">
        <f>d2.8xlarge!Q25</f>
        <v>6.2534095495689265E-3</v>
      </c>
      <c r="K68" s="17">
        <f t="shared" si="5"/>
        <v>3.1171875000000002E-3</v>
      </c>
      <c r="L68" s="17">
        <f t="shared" si="4"/>
        <v>6.6500000000000005E-3</v>
      </c>
      <c r="M68" s="17">
        <f t="shared" si="4"/>
        <v>6.6500000000000005E-3</v>
      </c>
      <c r="N68" s="17">
        <f t="shared" si="4"/>
        <v>4.6874999999999998E-3</v>
      </c>
      <c r="O68" s="17">
        <f t="shared" si="4"/>
        <v>2.567546215831885E-4</v>
      </c>
      <c r="P68" s="17">
        <f t="shared" si="4"/>
        <v>8.3125000000000004E-3</v>
      </c>
      <c r="Q68" s="17">
        <f t="shared" si="4"/>
        <v>2.1312500000000002E-2</v>
      </c>
      <c r="R68" s="17">
        <f t="shared" si="4"/>
        <v>7.9861111111111105E-3</v>
      </c>
    </row>
    <row r="69" spans="1:18" x14ac:dyDescent="0.25">
      <c r="A69">
        <v>2865</v>
      </c>
      <c r="B69" t="s">
        <v>131</v>
      </c>
      <c r="C69" s="17"/>
      <c r="D69" s="17">
        <f>m3.large!Q24</f>
        <v>4.5166744281418588E-3</v>
      </c>
      <c r="E69" s="17">
        <f>m3.2xlarge!Q24</f>
        <v>4.5129179077420794E-3</v>
      </c>
      <c r="F69" s="17">
        <f>c3.8xlarge!Q23</f>
        <v>4.8071580699319194E-3</v>
      </c>
      <c r="G69" s="17"/>
      <c r="H69" s="17">
        <f>r3.4xlarge!Q25</f>
        <v>4.5801613131820212E-3</v>
      </c>
      <c r="I69" s="17">
        <f>i2.8xlarge!Q27</f>
        <v>4.7785730833688296E-3</v>
      </c>
      <c r="J69" s="17">
        <f>d2.8xlarge!Q26</f>
        <v>3.9143747691734957E-3</v>
      </c>
      <c r="K69" s="17">
        <f t="shared" si="5"/>
        <v>3.1171875000000002E-3</v>
      </c>
      <c r="L69" s="17">
        <f t="shared" si="4"/>
        <v>6.6500000000000005E-3</v>
      </c>
      <c r="M69" s="17">
        <f t="shared" si="4"/>
        <v>6.6500000000000005E-3</v>
      </c>
      <c r="N69" s="17">
        <f t="shared" si="4"/>
        <v>4.6874999999999998E-3</v>
      </c>
      <c r="O69" s="17">
        <f t="shared" si="4"/>
        <v>2.567546215831885E-4</v>
      </c>
      <c r="P69" s="17">
        <f t="shared" si="4"/>
        <v>8.3125000000000004E-3</v>
      </c>
      <c r="Q69" s="17">
        <f t="shared" si="4"/>
        <v>2.1312500000000002E-2</v>
      </c>
      <c r="R69" s="17">
        <f t="shared" si="4"/>
        <v>7.9861111111111105E-3</v>
      </c>
    </row>
    <row r="70" spans="1:18" x14ac:dyDescent="0.25">
      <c r="A70">
        <v>3840</v>
      </c>
      <c r="B70" t="s">
        <v>129</v>
      </c>
      <c r="C70" s="17">
        <f>m4.10xlarge!Q23</f>
        <v>3.3827906807152859E-3</v>
      </c>
      <c r="D70" s="17">
        <f>m3.large!Q25</f>
        <v>3.464108776963916E-3</v>
      </c>
      <c r="E70" s="17">
        <f>m3.2xlarge!Q25</f>
        <v>3.4603522565641353E-3</v>
      </c>
      <c r="F70" s="17">
        <f>c3.8xlarge!Q24</f>
        <v>3.6537785008651786E-3</v>
      </c>
      <c r="G70" s="17"/>
      <c r="H70" s="17">
        <f>r3.4xlarge!Q26</f>
        <v>3.5275956620040771E-3</v>
      </c>
      <c r="I70" s="17">
        <f>i2.8xlarge!Q28</f>
        <v>3.7260074321908846E-3</v>
      </c>
      <c r="J70" s="17">
        <f>d2.8xlarge!Q27</f>
        <v>3.3296160740746376E-3</v>
      </c>
      <c r="K70" s="17">
        <f t="shared" si="5"/>
        <v>3.1171875000000002E-3</v>
      </c>
      <c r="L70" s="17">
        <f t="shared" si="4"/>
        <v>6.6500000000000005E-3</v>
      </c>
      <c r="M70" s="17">
        <f t="shared" si="4"/>
        <v>6.6500000000000005E-3</v>
      </c>
      <c r="N70" s="17">
        <f t="shared" si="4"/>
        <v>4.6874999999999998E-3</v>
      </c>
      <c r="O70" s="17">
        <f t="shared" si="4"/>
        <v>2.567546215831885E-4</v>
      </c>
      <c r="P70" s="17">
        <f t="shared" si="4"/>
        <v>8.3125000000000004E-3</v>
      </c>
      <c r="Q70" s="17">
        <f t="shared" si="4"/>
        <v>2.1312500000000002E-2</v>
      </c>
      <c r="R70" s="17">
        <f t="shared" si="4"/>
        <v>7.9861111111111105E-3</v>
      </c>
    </row>
    <row r="71" spans="1:18" x14ac:dyDescent="0.25">
      <c r="A71">
        <v>10000</v>
      </c>
      <c r="B71" t="s">
        <v>94</v>
      </c>
      <c r="C71" s="17">
        <f>C26</f>
        <v>1.3528426391578217E-3</v>
      </c>
      <c r="D71" s="17">
        <f>D26</f>
        <v>1.5368915156991605E-3</v>
      </c>
      <c r="E71" s="17">
        <f>E26</f>
        <v>1.5321596301569914E-3</v>
      </c>
      <c r="F71" s="17">
        <f>F26</f>
        <v>1.7871643723549114E-3</v>
      </c>
      <c r="G71" s="17"/>
      <c r="H71" s="17">
        <f>H26</f>
        <v>1.5904451054579065E-3</v>
      </c>
      <c r="I71" s="17">
        <f>I26</f>
        <v>1.7709536090027723E-3</v>
      </c>
      <c r="J71" s="17">
        <f>J26</f>
        <v>1.5753399887780642E-3</v>
      </c>
      <c r="K71" s="17">
        <f t="shared" si="5"/>
        <v>3.1171875000000002E-3</v>
      </c>
      <c r="L71" s="17">
        <f t="shared" si="4"/>
        <v>6.6500000000000005E-3</v>
      </c>
      <c r="M71" s="17">
        <f t="shared" si="4"/>
        <v>6.6500000000000005E-3</v>
      </c>
      <c r="N71" s="17">
        <f t="shared" si="4"/>
        <v>4.6874999999999998E-3</v>
      </c>
      <c r="O71" s="17">
        <f t="shared" si="4"/>
        <v>2.567546215831885E-4</v>
      </c>
      <c r="P71" s="17">
        <f t="shared" si="4"/>
        <v>8.3125000000000004E-3</v>
      </c>
      <c r="Q71" s="17">
        <f t="shared" si="4"/>
        <v>2.1312500000000002E-2</v>
      </c>
      <c r="R71" s="17">
        <f t="shared" si="4"/>
        <v>7.9861111111111105E-3</v>
      </c>
    </row>
    <row r="72" spans="1:18" x14ac:dyDescent="0.25">
      <c r="A72">
        <v>55675</v>
      </c>
      <c r="B72" t="s">
        <v>132</v>
      </c>
      <c r="C72" s="17">
        <f>m4.10xlarge!Q24</f>
        <v>4.4450408541206129E-4</v>
      </c>
      <c r="D72" s="17">
        <f>m3.large!M46</f>
        <v>5.2590634274952476E-4</v>
      </c>
      <c r="E72" s="17">
        <f>m3.2xlarge!Q26</f>
        <v>5.2187503786698503E-4</v>
      </c>
      <c r="F72" s="17">
        <f>c3.8xlarge!Q25</f>
        <v>7.984781825293286E-4</v>
      </c>
      <c r="G72" s="17">
        <f>g2.2xlarge!Q23</f>
        <v>2.5990799098033406E-4</v>
      </c>
      <c r="H72" s="17">
        <f>r3.4xlarge!Q27</f>
        <v>5.888436588241681E-4</v>
      </c>
      <c r="I72" s="17">
        <f>i2.8xlarge!Q29</f>
        <v>7.8780499797649324E-4</v>
      </c>
      <c r="J72" s="17">
        <f>d2.8xlarge!Q28</f>
        <v>6.2356620489940797E-4</v>
      </c>
      <c r="K72" s="17">
        <f t="shared" si="5"/>
        <v>3.1171875000000002E-3</v>
      </c>
      <c r="L72" s="17">
        <f t="shared" si="4"/>
        <v>6.6500000000000005E-3</v>
      </c>
      <c r="M72" s="17">
        <f t="shared" si="4"/>
        <v>6.6500000000000005E-3</v>
      </c>
      <c r="N72" s="17">
        <f t="shared" si="4"/>
        <v>4.6874999999999998E-3</v>
      </c>
      <c r="O72" s="17">
        <f t="shared" si="4"/>
        <v>2.567546215831885E-4</v>
      </c>
      <c r="P72" s="17">
        <f t="shared" si="4"/>
        <v>8.3125000000000004E-3</v>
      </c>
      <c r="Q72" s="17">
        <f t="shared" si="4"/>
        <v>2.1312500000000002E-2</v>
      </c>
      <c r="R72" s="17">
        <f t="shared" si="4"/>
        <v>7.9861111111111105E-3</v>
      </c>
    </row>
    <row r="73" spans="1:18" x14ac:dyDescent="0.25">
      <c r="A73">
        <v>100000</v>
      </c>
      <c r="B73" t="s">
        <v>95</v>
      </c>
      <c r="C73" s="17">
        <f t="shared" ref="C73:J73" si="6">C27</f>
        <v>3.5022513446830342E-4</v>
      </c>
      <c r="D73" s="17">
        <f t="shared" si="6"/>
        <v>4.3211315171595466E-4</v>
      </c>
      <c r="E73" s="17">
        <f t="shared" si="6"/>
        <v>4.279440791529755E-4</v>
      </c>
      <c r="F73" s="17">
        <f t="shared" si="6"/>
        <v>7.0275782829689573E-4</v>
      </c>
      <c r="G73" s="17">
        <f t="shared" si="6"/>
        <v>1.6035492344274759E-4</v>
      </c>
      <c r="H73" s="17">
        <f t="shared" si="6"/>
        <v>4.9534293183643664E-4</v>
      </c>
      <c r="I73" s="17">
        <f t="shared" si="6"/>
        <v>6.9499500417805396E-4</v>
      </c>
      <c r="J73" s="17">
        <f t="shared" si="6"/>
        <v>5.2868540493391191E-4</v>
      </c>
      <c r="K73" s="17">
        <f t="shared" si="5"/>
        <v>3.1171875000000002E-3</v>
      </c>
      <c r="L73" s="17">
        <f t="shared" si="4"/>
        <v>6.6500000000000005E-3</v>
      </c>
      <c r="M73" s="17">
        <f t="shared" si="4"/>
        <v>6.6500000000000005E-3</v>
      </c>
      <c r="N73" s="17">
        <f t="shared" si="4"/>
        <v>4.6874999999999998E-3</v>
      </c>
      <c r="O73" s="17">
        <f t="shared" si="4"/>
        <v>2.567546215831885E-4</v>
      </c>
      <c r="P73" s="17">
        <f t="shared" si="4"/>
        <v>8.3125000000000004E-3</v>
      </c>
      <c r="Q73" s="17">
        <f t="shared" si="4"/>
        <v>2.1312500000000002E-2</v>
      </c>
      <c r="R73" s="17">
        <f t="shared" si="4"/>
        <v>7.9861111111111105E-3</v>
      </c>
    </row>
    <row r="74" spans="1:18" x14ac:dyDescent="0.25">
      <c r="A74">
        <v>1000000</v>
      </c>
      <c r="B74" t="s">
        <v>121</v>
      </c>
      <c r="C74" s="17">
        <f t="shared" ref="C74:J74" si="7">C28</f>
        <v>2.5609260709887033E-4</v>
      </c>
      <c r="D74" s="17">
        <f t="shared" si="7"/>
        <v>3.343956703577948E-4</v>
      </c>
      <c r="E74" s="17">
        <f t="shared" si="7"/>
        <v>3.2941394787148597E-4</v>
      </c>
      <c r="F74" s="17">
        <f t="shared" si="7"/>
        <v>6.1964992522083213E-4</v>
      </c>
      <c r="G74" s="17">
        <f t="shared" si="7"/>
        <v>5.0839240741864465E-5</v>
      </c>
      <c r="H74" s="17">
        <f t="shared" si="7"/>
        <v>3.9582972120116839E-4</v>
      </c>
      <c r="I74" s="17">
        <f t="shared" si="7"/>
        <v>5.9637813315443588E-4</v>
      </c>
      <c r="J74" s="17">
        <f t="shared" si="7"/>
        <v>4.3241385428097851E-4</v>
      </c>
      <c r="K74" s="17">
        <f t="shared" si="5"/>
        <v>3.1171875000000002E-3</v>
      </c>
      <c r="L74" s="17">
        <f t="shared" si="4"/>
        <v>6.6500000000000005E-3</v>
      </c>
      <c r="M74" s="17">
        <f t="shared" si="4"/>
        <v>6.6500000000000005E-3</v>
      </c>
      <c r="N74" s="17">
        <f t="shared" si="4"/>
        <v>4.6874999999999998E-3</v>
      </c>
      <c r="O74" s="17">
        <f t="shared" si="4"/>
        <v>2.567546215831885E-4</v>
      </c>
      <c r="P74" s="17">
        <f t="shared" si="4"/>
        <v>8.3125000000000004E-3</v>
      </c>
      <c r="Q74" s="17">
        <f t="shared" si="4"/>
        <v>2.1312500000000002E-2</v>
      </c>
      <c r="R74" s="17">
        <f t="shared" si="4"/>
        <v>7.9861111111111105E-3</v>
      </c>
    </row>
    <row r="76" spans="1:18" x14ac:dyDescent="0.25">
      <c r="A76" t="str">
        <f t="shared" ref="A76:J76" si="8">A21</f>
        <v>Gflops</v>
      </c>
      <c r="B76">
        <f t="shared" si="8"/>
        <v>0</v>
      </c>
      <c r="C76" t="str">
        <f t="shared" si="8"/>
        <v>pr.m4.10xlarge</v>
      </c>
      <c r="D76" t="str">
        <f t="shared" si="8"/>
        <v>pr.m3.large</v>
      </c>
      <c r="E76" t="str">
        <f t="shared" si="8"/>
        <v>pr.m3.2xlarge</v>
      </c>
      <c r="F76" t="str">
        <f t="shared" si="8"/>
        <v>pr.c3.8xlarge</v>
      </c>
      <c r="G76" t="str">
        <f t="shared" si="8"/>
        <v>pr.g2.2xlarge</v>
      </c>
      <c r="H76" t="str">
        <f t="shared" si="8"/>
        <v>pr.r3.4xlarge</v>
      </c>
      <c r="I76" t="str">
        <f t="shared" si="8"/>
        <v>pr.i2.8xlarge</v>
      </c>
      <c r="J76" t="str">
        <f t="shared" si="8"/>
        <v>pr.d2.8xlarge</v>
      </c>
    </row>
    <row r="77" spans="1:18" x14ac:dyDescent="0.25">
      <c r="A77">
        <f t="shared" ref="A77:B90" si="9">A61</f>
        <v>1</v>
      </c>
      <c r="B77" t="str">
        <f t="shared" si="9"/>
        <v>1 Gflops</v>
      </c>
      <c r="C77" t="b">
        <f t="shared" ref="C77:J78" si="10">IF(C61&lt;&gt;"",(C61/K61)*100)</f>
        <v>0</v>
      </c>
      <c r="D77" t="b">
        <f t="shared" si="10"/>
        <v>0</v>
      </c>
      <c r="E77" t="b">
        <f t="shared" si="10"/>
        <v>0</v>
      </c>
      <c r="F77" t="b">
        <f t="shared" si="10"/>
        <v>0</v>
      </c>
      <c r="G77" t="b">
        <f t="shared" si="10"/>
        <v>0</v>
      </c>
      <c r="H77" t="b">
        <f t="shared" si="10"/>
        <v>0</v>
      </c>
      <c r="I77" t="b">
        <f t="shared" si="10"/>
        <v>0</v>
      </c>
      <c r="J77" t="b">
        <f t="shared" si="10"/>
        <v>0</v>
      </c>
      <c r="L77" s="18">
        <v>325</v>
      </c>
    </row>
    <row r="78" spans="1:18" x14ac:dyDescent="0.25">
      <c r="A78">
        <f t="shared" si="9"/>
        <v>10</v>
      </c>
      <c r="B78" t="str">
        <f t="shared" si="9"/>
        <v>10 GFlops</v>
      </c>
      <c r="C78" t="b">
        <f t="shared" si="10"/>
        <v>0</v>
      </c>
      <c r="D78" t="b">
        <f t="shared" si="10"/>
        <v>0</v>
      </c>
      <c r="E78" t="b">
        <f t="shared" si="10"/>
        <v>0</v>
      </c>
      <c r="F78" t="b">
        <f t="shared" si="10"/>
        <v>0</v>
      </c>
      <c r="G78" t="b">
        <f t="shared" si="10"/>
        <v>0</v>
      </c>
      <c r="H78" t="b">
        <f t="shared" si="10"/>
        <v>0</v>
      </c>
      <c r="I78" t="b">
        <f t="shared" si="10"/>
        <v>0</v>
      </c>
      <c r="J78" t="b">
        <f t="shared" si="10"/>
        <v>0</v>
      </c>
      <c r="L78" s="18">
        <v>1375</v>
      </c>
    </row>
    <row r="79" spans="1:18" x14ac:dyDescent="0.25">
      <c r="A79">
        <f t="shared" si="9"/>
        <v>100</v>
      </c>
      <c r="B79" t="str">
        <f t="shared" si="9"/>
        <v>100 Gflops</v>
      </c>
      <c r="C79" t="b">
        <f>IF(C63&lt;&gt;"",(C63/K63)*100)</f>
        <v>0</v>
      </c>
      <c r="D79" t="b">
        <f t="shared" ref="D79:J79" si="11">IF(D63&lt;&gt;"",(D63/L63)*100)</f>
        <v>0</v>
      </c>
      <c r="E79" t="b">
        <f t="shared" si="11"/>
        <v>0</v>
      </c>
      <c r="F79" t="b">
        <f t="shared" si="11"/>
        <v>0</v>
      </c>
      <c r="G79" t="b">
        <f t="shared" si="11"/>
        <v>0</v>
      </c>
      <c r="H79" t="b">
        <f t="shared" si="11"/>
        <v>0</v>
      </c>
      <c r="I79" t="b">
        <f t="shared" si="11"/>
        <v>0</v>
      </c>
      <c r="J79" t="b">
        <f t="shared" si="11"/>
        <v>0</v>
      </c>
      <c r="L79" s="18">
        <v>1600</v>
      </c>
    </row>
    <row r="80" spans="1:18" x14ac:dyDescent="0.25">
      <c r="A80">
        <f t="shared" si="9"/>
        <v>625</v>
      </c>
      <c r="B80" t="str">
        <f t="shared" si="9"/>
        <v>625 Gflops</v>
      </c>
      <c r="C80" t="b">
        <f t="shared" ref="C80:J80" si="12">IF(C64&lt;&gt;"",(C64/K64)*100)</f>
        <v>0</v>
      </c>
      <c r="D80" t="b">
        <f t="shared" si="12"/>
        <v>0</v>
      </c>
      <c r="E80" t="b">
        <f t="shared" si="12"/>
        <v>0</v>
      </c>
      <c r="F80" t="b">
        <f t="shared" si="12"/>
        <v>0</v>
      </c>
      <c r="G80" t="b">
        <f t="shared" si="12"/>
        <v>0</v>
      </c>
      <c r="H80" t="b">
        <f t="shared" si="12"/>
        <v>0</v>
      </c>
      <c r="I80">
        <f t="shared" si="12"/>
        <v>92.896879480063674</v>
      </c>
      <c r="J80" t="b">
        <f t="shared" si="12"/>
        <v>0</v>
      </c>
      <c r="L80" s="18"/>
    </row>
    <row r="81" spans="1:12" x14ac:dyDescent="0.25">
      <c r="A81">
        <f t="shared" si="9"/>
        <v>1000</v>
      </c>
      <c r="B81" t="str">
        <f t="shared" si="9"/>
        <v>1 Tflops</v>
      </c>
      <c r="C81" t="b">
        <f t="shared" ref="C81:J81" si="13">IF(C65&lt;&gt;"",(C65/K65)*100)</f>
        <v>0</v>
      </c>
      <c r="D81" t="b">
        <f t="shared" si="13"/>
        <v>0</v>
      </c>
      <c r="E81" t="b">
        <f t="shared" si="13"/>
        <v>0</v>
      </c>
      <c r="F81" t="b">
        <f t="shared" si="13"/>
        <v>0</v>
      </c>
      <c r="G81" t="b">
        <f t="shared" si="13"/>
        <v>0</v>
      </c>
      <c r="H81" t="b">
        <f t="shared" si="13"/>
        <v>0</v>
      </c>
      <c r="I81">
        <f t="shared" si="13"/>
        <v>48.448359313018543</v>
      </c>
      <c r="J81" t="b">
        <f t="shared" si="13"/>
        <v>0</v>
      </c>
      <c r="L81" s="18">
        <v>1900</v>
      </c>
    </row>
    <row r="82" spans="1:12" x14ac:dyDescent="0.25">
      <c r="A82">
        <f t="shared" si="9"/>
        <v>1375</v>
      </c>
      <c r="B82" t="str">
        <f t="shared" si="9"/>
        <v>1.375 Tflops</v>
      </c>
      <c r="C82" t="b">
        <f t="shared" ref="C82:J82" si="14">IF(C66&lt;&gt;"",(C66/K66)*100)</f>
        <v>0</v>
      </c>
      <c r="D82" t="b">
        <f t="shared" si="14"/>
        <v>0</v>
      </c>
      <c r="E82" t="b">
        <f t="shared" si="14"/>
        <v>0</v>
      </c>
      <c r="F82" t="b">
        <f t="shared" si="14"/>
        <v>0</v>
      </c>
      <c r="G82" t="b">
        <f t="shared" si="14"/>
        <v>0</v>
      </c>
      <c r="H82" t="b">
        <f t="shared" si="14"/>
        <v>0</v>
      </c>
      <c r="I82">
        <f t="shared" si="14"/>
        <v>38.758687450414833</v>
      </c>
      <c r="J82">
        <f t="shared" si="14"/>
        <v>114.91454222687854</v>
      </c>
      <c r="L82" s="18"/>
    </row>
    <row r="83" spans="1:12" x14ac:dyDescent="0.25">
      <c r="A83">
        <f t="shared" si="9"/>
        <v>1600</v>
      </c>
      <c r="B83" t="str">
        <f t="shared" si="9"/>
        <v>1.6 Tflops</v>
      </c>
      <c r="C83" t="b">
        <f t="shared" ref="C83:J83" si="15">IF(C67&lt;&gt;"",(C67/K67)*100)</f>
        <v>0</v>
      </c>
      <c r="D83" t="b">
        <f t="shared" si="15"/>
        <v>0</v>
      </c>
      <c r="E83" t="b">
        <f t="shared" si="15"/>
        <v>0</v>
      </c>
      <c r="F83" t="b">
        <f t="shared" si="15"/>
        <v>0</v>
      </c>
      <c r="G83" t="b">
        <f t="shared" si="15"/>
        <v>0</v>
      </c>
      <c r="H83">
        <f t="shared" si="15"/>
        <v>96.509487382201371</v>
      </c>
      <c r="I83">
        <f t="shared" si="15"/>
        <v>38.758687450414833</v>
      </c>
      <c r="J83">
        <f t="shared" si="15"/>
        <v>78.303563055471784</v>
      </c>
      <c r="L83" s="18"/>
    </row>
    <row r="84" spans="1:12" x14ac:dyDescent="0.25">
      <c r="A84">
        <f t="shared" si="9"/>
        <v>1900</v>
      </c>
      <c r="B84" t="str">
        <f t="shared" si="9"/>
        <v>1.9 Tflops</v>
      </c>
      <c r="C84" t="b">
        <f t="shared" ref="C84:J84" si="16">IF(C68&lt;&gt;"",(C68/K68)*100)</f>
        <v>0</v>
      </c>
      <c r="D84">
        <f t="shared" si="16"/>
        <v>100.62419471749644</v>
      </c>
      <c r="E84">
        <f t="shared" si="16"/>
        <v>99.519536993954389</v>
      </c>
      <c r="F84" t="b">
        <f t="shared" si="16"/>
        <v>0</v>
      </c>
      <c r="G84" t="b">
        <f t="shared" si="16"/>
        <v>0</v>
      </c>
      <c r="H84">
        <f t="shared" si="16"/>
        <v>80.424572818501147</v>
      </c>
      <c r="I84">
        <f t="shared" si="16"/>
        <v>32.298906208679021</v>
      </c>
      <c r="J84">
        <f t="shared" si="16"/>
        <v>78.303563055471784</v>
      </c>
      <c r="L84" s="18">
        <v>2865</v>
      </c>
    </row>
    <row r="85" spans="1:12" x14ac:dyDescent="0.25">
      <c r="A85">
        <f t="shared" si="9"/>
        <v>2865</v>
      </c>
      <c r="B85" t="str">
        <f t="shared" si="9"/>
        <v>2.865 Tflops</v>
      </c>
      <c r="C85" t="b">
        <f t="shared" ref="C85:J85" si="17">IF(C69&lt;&gt;"",(C69/K69)*100)</f>
        <v>0</v>
      </c>
      <c r="D85">
        <f t="shared" si="17"/>
        <v>67.91991621265953</v>
      </c>
      <c r="E85">
        <f t="shared" si="17"/>
        <v>67.863427184091421</v>
      </c>
      <c r="F85">
        <f t="shared" si="17"/>
        <v>102.55270549188096</v>
      </c>
      <c r="G85" t="b">
        <f t="shared" si="17"/>
        <v>0</v>
      </c>
      <c r="H85">
        <f t="shared" si="17"/>
        <v>55.099684970610774</v>
      </c>
      <c r="I85">
        <f t="shared" si="17"/>
        <v>22.421457282668992</v>
      </c>
      <c r="J85">
        <f t="shared" si="17"/>
        <v>49.014779718346382</v>
      </c>
      <c r="L85" s="18">
        <v>3840</v>
      </c>
    </row>
    <row r="86" spans="1:12" x14ac:dyDescent="0.25">
      <c r="A86">
        <f t="shared" si="9"/>
        <v>3840</v>
      </c>
      <c r="B86" t="str">
        <f t="shared" si="9"/>
        <v>3.84 Tflops</v>
      </c>
      <c r="C86">
        <f t="shared" ref="C86:J86" si="18">IF(C70&lt;&gt;"",(C70/K70)*100)</f>
        <v>108.52060329111694</v>
      </c>
      <c r="D86">
        <f t="shared" si="18"/>
        <v>52.09186130772806</v>
      </c>
      <c r="E86">
        <f t="shared" si="18"/>
        <v>52.035372279159922</v>
      </c>
      <c r="F86">
        <f t="shared" si="18"/>
        <v>77.947274685123816</v>
      </c>
      <c r="G86" t="b">
        <f t="shared" si="18"/>
        <v>0</v>
      </c>
      <c r="H86">
        <f t="shared" si="18"/>
        <v>42.437241046665584</v>
      </c>
      <c r="I86">
        <f t="shared" si="18"/>
        <v>17.482732819663973</v>
      </c>
      <c r="J86">
        <f t="shared" si="18"/>
        <v>41.69258388406503</v>
      </c>
      <c r="L86" s="18">
        <v>55675</v>
      </c>
    </row>
    <row r="87" spans="1:12" x14ac:dyDescent="0.25">
      <c r="A87">
        <f t="shared" si="9"/>
        <v>10000</v>
      </c>
      <c r="B87" t="str">
        <f t="shared" si="9"/>
        <v>10 Tflops</v>
      </c>
      <c r="C87">
        <f t="shared" ref="C87:J87" si="19">IF(C71&lt;&gt;"",(C71/K71)*100)</f>
        <v>43.399463110827355</v>
      </c>
      <c r="D87">
        <f t="shared" si="19"/>
        <v>23.11115061201745</v>
      </c>
      <c r="E87">
        <f t="shared" si="19"/>
        <v>23.039994438450996</v>
      </c>
      <c r="F87">
        <f t="shared" si="19"/>
        <v>38.12617327690478</v>
      </c>
      <c r="G87" t="b">
        <f t="shared" si="19"/>
        <v>0</v>
      </c>
      <c r="H87">
        <f t="shared" si="19"/>
        <v>19.13317420099737</v>
      </c>
      <c r="I87">
        <f t="shared" si="19"/>
        <v>8.3094597489866135</v>
      </c>
      <c r="J87">
        <f t="shared" si="19"/>
        <v>19.72599638122098</v>
      </c>
    </row>
    <row r="88" spans="1:12" x14ac:dyDescent="0.25">
      <c r="A88">
        <f t="shared" si="9"/>
        <v>55675</v>
      </c>
      <c r="B88" t="str">
        <f t="shared" si="9"/>
        <v>55.675 Tflops</v>
      </c>
      <c r="C88">
        <f t="shared" ref="C88:J88" si="20">IF(C72&lt;&gt;"",(C72/K72)*100)</f>
        <v>14.259780183645073</v>
      </c>
      <c r="D88">
        <f t="shared" si="20"/>
        <v>7.9083660563838309</v>
      </c>
      <c r="E88">
        <f t="shared" si="20"/>
        <v>7.8477449303306006</v>
      </c>
      <c r="F88">
        <f t="shared" si="20"/>
        <v>17.034201227292346</v>
      </c>
      <c r="G88">
        <f t="shared" si="20"/>
        <v>101.22816461012518</v>
      </c>
      <c r="H88">
        <f t="shared" si="20"/>
        <v>7.0838334896140527</v>
      </c>
      <c r="I88">
        <f t="shared" si="20"/>
        <v>3.6964457383061262</v>
      </c>
      <c r="J88">
        <f t="shared" si="20"/>
        <v>7.8081333483056303</v>
      </c>
    </row>
    <row r="89" spans="1:12" x14ac:dyDescent="0.25">
      <c r="A89">
        <f t="shared" si="9"/>
        <v>100000</v>
      </c>
      <c r="B89" t="str">
        <f t="shared" si="9"/>
        <v>100 Tflops</v>
      </c>
      <c r="C89">
        <f t="shared" ref="C89:J89" si="21">IF(C73&lt;&gt;"",(C73/K73)*100)</f>
        <v>11.235292534321513</v>
      </c>
      <c r="D89">
        <f t="shared" si="21"/>
        <v>6.4979421310669876</v>
      </c>
      <c r="E89">
        <f t="shared" si="21"/>
        <v>6.4352493105710593</v>
      </c>
      <c r="F89">
        <f t="shared" si="21"/>
        <v>14.99216700366711</v>
      </c>
      <c r="G89">
        <f t="shared" si="21"/>
        <v>62.454542182716885</v>
      </c>
      <c r="H89">
        <f t="shared" si="21"/>
        <v>5.9590127138217941</v>
      </c>
      <c r="I89">
        <f t="shared" si="21"/>
        <v>3.2609736266418952</v>
      </c>
      <c r="J89">
        <f t="shared" si="21"/>
        <v>6.6200607226507238</v>
      </c>
    </row>
    <row r="90" spans="1:12" x14ac:dyDescent="0.25">
      <c r="A90">
        <f t="shared" si="9"/>
        <v>1000000</v>
      </c>
      <c r="B90" t="str">
        <f t="shared" si="9"/>
        <v>1 Pflops</v>
      </c>
      <c r="C90">
        <f t="shared" ref="C90:J90" si="22">IF(C74&lt;&gt;"",(C74/K74)*100)</f>
        <v>8.2155021826204013</v>
      </c>
      <c r="D90">
        <f t="shared" si="22"/>
        <v>5.0285063211698464</v>
      </c>
      <c r="E90">
        <f t="shared" si="22"/>
        <v>4.9535932010749768</v>
      </c>
      <c r="F90">
        <f t="shared" si="22"/>
        <v>13.219198404711086</v>
      </c>
      <c r="G90">
        <f t="shared" si="22"/>
        <v>19.800711055708319</v>
      </c>
      <c r="H90">
        <f t="shared" si="22"/>
        <v>4.7618613076832288</v>
      </c>
      <c r="I90">
        <f t="shared" si="22"/>
        <v>2.7982551702260916</v>
      </c>
      <c r="J90">
        <f t="shared" si="22"/>
        <v>5.4145734796922529</v>
      </c>
    </row>
    <row r="92" spans="1:12" x14ac:dyDescent="0.25">
      <c r="A92" t="str">
        <f>A76</f>
        <v>Gflops</v>
      </c>
      <c r="B92">
        <f>B76</f>
        <v>0</v>
      </c>
      <c r="C92" t="s">
        <v>0</v>
      </c>
      <c r="D92" t="s">
        <v>1</v>
      </c>
      <c r="E92" t="s">
        <v>2</v>
      </c>
      <c r="F92" t="s">
        <v>3</v>
      </c>
      <c r="G92" t="s">
        <v>4</v>
      </c>
      <c r="H92" t="s">
        <v>5</v>
      </c>
      <c r="I92" t="s">
        <v>6</v>
      </c>
      <c r="J92" t="s">
        <v>7</v>
      </c>
    </row>
    <row r="93" spans="1:12" x14ac:dyDescent="0.25">
      <c r="A93">
        <f>A80</f>
        <v>625</v>
      </c>
      <c r="B93" t="str">
        <f>B80</f>
        <v>625 Gflops</v>
      </c>
      <c r="I93">
        <v>100</v>
      </c>
    </row>
    <row r="94" spans="1:12" x14ac:dyDescent="0.25">
      <c r="A94">
        <f t="shared" ref="A94:B103" si="23">A81</f>
        <v>1000</v>
      </c>
      <c r="B94" t="str">
        <f t="shared" si="23"/>
        <v>1 Tflops</v>
      </c>
      <c r="I94">
        <f>I81</f>
        <v>48.448359313018543</v>
      </c>
    </row>
    <row r="95" spans="1:12" x14ac:dyDescent="0.25">
      <c r="A95">
        <f t="shared" si="23"/>
        <v>1375</v>
      </c>
      <c r="B95" t="str">
        <f t="shared" si="23"/>
        <v>1.375 Tflops</v>
      </c>
      <c r="I95">
        <f>I82</f>
        <v>38.758687450414833</v>
      </c>
      <c r="J95">
        <v>100</v>
      </c>
    </row>
    <row r="96" spans="1:12" x14ac:dyDescent="0.25">
      <c r="A96">
        <f t="shared" si="23"/>
        <v>1600</v>
      </c>
      <c r="B96" t="str">
        <f t="shared" si="23"/>
        <v>1.6 Tflops</v>
      </c>
      <c r="H96">
        <f>H83</f>
        <v>96.509487382201371</v>
      </c>
      <c r="I96">
        <f>I83</f>
        <v>38.758687450414833</v>
      </c>
      <c r="J96">
        <f>J83</f>
        <v>78.303563055471784</v>
      </c>
    </row>
    <row r="97" spans="1:10" x14ac:dyDescent="0.25">
      <c r="A97">
        <f t="shared" si="23"/>
        <v>1900</v>
      </c>
      <c r="B97" t="str">
        <f t="shared" si="23"/>
        <v>1.9 Tflops</v>
      </c>
      <c r="D97">
        <f t="shared" ref="D97:J97" si="24">D84</f>
        <v>100.62419471749644</v>
      </c>
      <c r="E97">
        <f t="shared" si="24"/>
        <v>99.519536993954389</v>
      </c>
      <c r="H97">
        <f t="shared" si="24"/>
        <v>80.424572818501147</v>
      </c>
      <c r="I97">
        <f t="shared" si="24"/>
        <v>32.298906208679021</v>
      </c>
      <c r="J97">
        <f t="shared" si="24"/>
        <v>78.303563055471784</v>
      </c>
    </row>
    <row r="98" spans="1:10" x14ac:dyDescent="0.25">
      <c r="A98">
        <f t="shared" si="23"/>
        <v>2865</v>
      </c>
      <c r="B98" t="str">
        <f t="shared" si="23"/>
        <v>2.865 Tflops</v>
      </c>
      <c r="D98">
        <f t="shared" ref="D98:J98" si="25">D85</f>
        <v>67.91991621265953</v>
      </c>
      <c r="E98">
        <f t="shared" si="25"/>
        <v>67.863427184091421</v>
      </c>
      <c r="F98">
        <f t="shared" si="25"/>
        <v>102.55270549188096</v>
      </c>
      <c r="H98">
        <f t="shared" si="25"/>
        <v>55.099684970610774</v>
      </c>
      <c r="I98">
        <f t="shared" si="25"/>
        <v>22.421457282668992</v>
      </c>
      <c r="J98">
        <f t="shared" si="25"/>
        <v>49.014779718346382</v>
      </c>
    </row>
    <row r="99" spans="1:10" x14ac:dyDescent="0.25">
      <c r="A99">
        <f t="shared" si="23"/>
        <v>3840</v>
      </c>
      <c r="B99" t="str">
        <f t="shared" si="23"/>
        <v>3.84 Tflops</v>
      </c>
      <c r="C99">
        <v>100</v>
      </c>
      <c r="D99">
        <f t="shared" ref="D99:J99" si="26">D86</f>
        <v>52.09186130772806</v>
      </c>
      <c r="E99">
        <f t="shared" si="26"/>
        <v>52.035372279159922</v>
      </c>
      <c r="F99">
        <f t="shared" si="26"/>
        <v>77.947274685123816</v>
      </c>
      <c r="H99">
        <f t="shared" si="26"/>
        <v>42.437241046665584</v>
      </c>
      <c r="I99">
        <f t="shared" si="26"/>
        <v>17.482732819663973</v>
      </c>
      <c r="J99">
        <f t="shared" si="26"/>
        <v>41.69258388406503</v>
      </c>
    </row>
    <row r="100" spans="1:10" x14ac:dyDescent="0.25">
      <c r="A100">
        <f t="shared" si="23"/>
        <v>10000</v>
      </c>
      <c r="B100" t="str">
        <f t="shared" si="23"/>
        <v>10 Tflops</v>
      </c>
      <c r="C100">
        <f t="shared" ref="C100:J100" si="27">C87</f>
        <v>43.399463110827355</v>
      </c>
      <c r="D100">
        <f t="shared" si="27"/>
        <v>23.11115061201745</v>
      </c>
      <c r="E100">
        <f t="shared" si="27"/>
        <v>23.039994438450996</v>
      </c>
      <c r="F100">
        <f t="shared" si="27"/>
        <v>38.12617327690478</v>
      </c>
      <c r="H100">
        <f t="shared" si="27"/>
        <v>19.13317420099737</v>
      </c>
      <c r="I100">
        <f t="shared" si="27"/>
        <v>8.3094597489866135</v>
      </c>
      <c r="J100">
        <f t="shared" si="27"/>
        <v>19.72599638122098</v>
      </c>
    </row>
    <row r="101" spans="1:10" x14ac:dyDescent="0.25">
      <c r="A101">
        <f t="shared" si="23"/>
        <v>55675</v>
      </c>
      <c r="B101" t="str">
        <f t="shared" si="23"/>
        <v>55.675 Tflops</v>
      </c>
      <c r="C101">
        <f t="shared" ref="C101:J101" si="28">C88</f>
        <v>14.259780183645073</v>
      </c>
      <c r="D101">
        <f t="shared" si="28"/>
        <v>7.9083660563838309</v>
      </c>
      <c r="E101">
        <f t="shared" si="28"/>
        <v>7.8477449303306006</v>
      </c>
      <c r="F101">
        <f t="shared" si="28"/>
        <v>17.034201227292346</v>
      </c>
      <c r="G101">
        <f t="shared" si="28"/>
        <v>101.22816461012518</v>
      </c>
      <c r="H101">
        <f t="shared" si="28"/>
        <v>7.0838334896140527</v>
      </c>
      <c r="I101">
        <f t="shared" si="28"/>
        <v>3.6964457383061262</v>
      </c>
      <c r="J101">
        <f t="shared" si="28"/>
        <v>7.8081333483056303</v>
      </c>
    </row>
    <row r="102" spans="1:10" x14ac:dyDescent="0.25">
      <c r="A102">
        <f t="shared" si="23"/>
        <v>100000</v>
      </c>
      <c r="B102" t="str">
        <f t="shared" si="23"/>
        <v>100 Tflops</v>
      </c>
      <c r="C102">
        <f t="shared" ref="C102:J102" si="29">C89</f>
        <v>11.235292534321513</v>
      </c>
      <c r="D102">
        <f t="shared" si="29"/>
        <v>6.4979421310669876</v>
      </c>
      <c r="E102">
        <f t="shared" si="29"/>
        <v>6.4352493105710593</v>
      </c>
      <c r="F102">
        <f t="shared" si="29"/>
        <v>14.99216700366711</v>
      </c>
      <c r="G102">
        <f t="shared" si="29"/>
        <v>62.454542182716885</v>
      </c>
      <c r="H102">
        <f t="shared" si="29"/>
        <v>5.9590127138217941</v>
      </c>
      <c r="I102">
        <f t="shared" si="29"/>
        <v>3.2609736266418952</v>
      </c>
      <c r="J102">
        <f t="shared" si="29"/>
        <v>6.6200607226507238</v>
      </c>
    </row>
    <row r="103" spans="1:10" x14ac:dyDescent="0.25">
      <c r="A103">
        <f t="shared" si="23"/>
        <v>1000000</v>
      </c>
      <c r="B103" t="str">
        <f t="shared" si="23"/>
        <v>1 Pflops</v>
      </c>
      <c r="C103">
        <f t="shared" ref="C103:J103" si="30">C90</f>
        <v>8.2155021826204013</v>
      </c>
      <c r="D103">
        <f t="shared" si="30"/>
        <v>5.0285063211698464</v>
      </c>
      <c r="E103">
        <f t="shared" si="30"/>
        <v>4.9535932010749768</v>
      </c>
      <c r="F103">
        <f t="shared" si="30"/>
        <v>13.219198404711086</v>
      </c>
      <c r="G103">
        <f t="shared" si="30"/>
        <v>19.800711055708319</v>
      </c>
      <c r="H103">
        <f t="shared" si="30"/>
        <v>4.7618613076832288</v>
      </c>
      <c r="I103">
        <f t="shared" si="30"/>
        <v>2.7982551702260916</v>
      </c>
      <c r="J103">
        <f t="shared" si="30"/>
        <v>5.4145734796922529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9" r:id="rId4" name="cmdRefresh">
          <controlPr defaultSize="0" autoLine="0" r:id="rId5">
            <anchor moveWithCells="1">
              <from>
                <xdr:col>2</xdr:col>
                <xdr:colOff>257175</xdr:colOff>
                <xdr:row>35</xdr:row>
                <xdr:rowOff>9525</xdr:rowOff>
              </from>
              <to>
                <xdr:col>3</xdr:col>
                <xdr:colOff>238125</xdr:colOff>
                <xdr:row>36</xdr:row>
                <xdr:rowOff>142875</xdr:rowOff>
              </to>
            </anchor>
          </controlPr>
        </control>
      </mc:Choice>
      <mc:Fallback>
        <control shapeId="27649" r:id="rId4" name="cmdRefres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H1"/>
  <sheetViews>
    <sheetView workbookViewId="0">
      <selection activeCell="B2" sqref="B2"/>
    </sheetView>
  </sheetViews>
  <sheetFormatPr defaultRowHeight="15" x14ac:dyDescent="0.25"/>
  <sheetData>
    <row r="1" spans="2:8" x14ac:dyDescent="0.25">
      <c r="B1">
        <v>1</v>
      </c>
      <c r="C1">
        <v>10</v>
      </c>
      <c r="D1">
        <v>100</v>
      </c>
      <c r="E1">
        <v>1000</v>
      </c>
      <c r="F1">
        <v>10000</v>
      </c>
      <c r="G1">
        <v>100000</v>
      </c>
      <c r="H1">
        <v>1000000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21"/>
  <sheetViews>
    <sheetView zoomScale="90" zoomScaleNormal="90" workbookViewId="0">
      <selection activeCell="M10" sqref="M10"/>
    </sheetView>
  </sheetViews>
  <sheetFormatPr defaultRowHeight="15" x14ac:dyDescent="0.25"/>
  <cols>
    <col min="1" max="1" width="13.28515625" style="2" bestFit="1" customWidth="1"/>
    <col min="2" max="2" width="7.140625" style="2" customWidth="1"/>
    <col min="3" max="3" width="13.42578125" style="2" bestFit="1" customWidth="1"/>
    <col min="4" max="4" width="12" style="2" bestFit="1" customWidth="1"/>
    <col min="5" max="5" width="12" style="3" customWidth="1"/>
    <col min="6" max="6" width="23.7109375" style="2" bestFit="1" customWidth="1"/>
    <col min="7" max="7" width="20.42578125" style="2" bestFit="1" customWidth="1"/>
    <col min="8" max="8" width="17.28515625" style="2" bestFit="1" customWidth="1"/>
    <col min="9" max="9" width="8.85546875" style="2" bestFit="1" customWidth="1"/>
    <col min="10" max="10" width="12.42578125" style="2" customWidth="1"/>
    <col min="11" max="11" width="14.85546875" style="2" customWidth="1"/>
    <col min="12" max="12" width="12.7109375" style="2" customWidth="1"/>
    <col min="13" max="13" width="21.85546875" style="2" customWidth="1"/>
    <col min="14" max="14" width="22.140625" style="2" bestFit="1" customWidth="1"/>
    <col min="15" max="15" width="35.7109375" style="2" customWidth="1"/>
    <col min="16" max="16" width="22.5703125" style="2" bestFit="1" customWidth="1"/>
    <col min="17" max="17" width="22.140625" style="2" bestFit="1" customWidth="1"/>
    <col min="18" max="16384" width="9.140625" style="2"/>
  </cols>
  <sheetData>
    <row r="1" spans="1:27" x14ac:dyDescent="0.25">
      <c r="A1" s="19" t="s">
        <v>48</v>
      </c>
      <c r="B1" s="19"/>
      <c r="C1" s="19"/>
      <c r="D1" s="19"/>
      <c r="E1" s="19"/>
      <c r="F1" s="19"/>
      <c r="G1" s="19"/>
      <c r="H1" s="19"/>
      <c r="I1" s="19"/>
    </row>
    <row r="2" spans="1:27" ht="45" x14ac:dyDescent="0.25">
      <c r="A2" s="5" t="s">
        <v>18</v>
      </c>
      <c r="B2" s="5" t="s">
        <v>19</v>
      </c>
      <c r="C2" s="5" t="s">
        <v>20</v>
      </c>
      <c r="D2" s="5" t="s">
        <v>8</v>
      </c>
      <c r="E2" s="5" t="s">
        <v>65</v>
      </c>
      <c r="F2" s="5" t="s">
        <v>56</v>
      </c>
      <c r="G2" s="5" t="s">
        <v>9</v>
      </c>
      <c r="H2" s="5" t="s">
        <v>10</v>
      </c>
      <c r="I2" s="5" t="s">
        <v>11</v>
      </c>
      <c r="J2" s="5" t="s">
        <v>21</v>
      </c>
      <c r="K2" s="5" t="s">
        <v>23</v>
      </c>
      <c r="L2" s="5" t="s">
        <v>22</v>
      </c>
      <c r="M2" s="5" t="s">
        <v>44</v>
      </c>
    </row>
    <row r="3" spans="1:27" x14ac:dyDescent="0.25">
      <c r="A3" s="2" t="s">
        <v>0</v>
      </c>
      <c r="B3" s="2">
        <v>40</v>
      </c>
      <c r="C3" s="2">
        <v>160</v>
      </c>
      <c r="E3" s="3" t="s">
        <v>66</v>
      </c>
      <c r="F3" s="2">
        <v>10</v>
      </c>
      <c r="G3" s="2" t="s">
        <v>12</v>
      </c>
      <c r="H3" s="2">
        <v>2.4</v>
      </c>
      <c r="I3" s="4">
        <v>2.3940000000000001</v>
      </c>
      <c r="J3" s="2">
        <v>12</v>
      </c>
      <c r="K3" s="2">
        <v>2</v>
      </c>
      <c r="L3" s="2">
        <v>16</v>
      </c>
      <c r="M3" s="2">
        <f>H3*L3*B3/K3</f>
        <v>768</v>
      </c>
    </row>
    <row r="4" spans="1:27" x14ac:dyDescent="0.25">
      <c r="A4" s="2" t="s">
        <v>1</v>
      </c>
      <c r="B4" s="2">
        <v>2</v>
      </c>
      <c r="C4" s="2">
        <v>7.5</v>
      </c>
      <c r="D4" s="2">
        <f>1*32</f>
        <v>32</v>
      </c>
      <c r="E4" s="3" t="s">
        <v>67</v>
      </c>
      <c r="F4" s="2">
        <v>0.5</v>
      </c>
      <c r="G4" s="2" t="s">
        <v>13</v>
      </c>
      <c r="H4" s="2">
        <v>2.5</v>
      </c>
      <c r="I4" s="4">
        <v>0.13300000000000001</v>
      </c>
      <c r="J4" s="2">
        <v>10</v>
      </c>
      <c r="K4" s="2">
        <v>2</v>
      </c>
      <c r="L4" s="2">
        <v>8</v>
      </c>
      <c r="M4" s="2">
        <f t="shared" ref="M4:M10" si="0">H4*L4*B4/K4</f>
        <v>20</v>
      </c>
    </row>
    <row r="5" spans="1:27" x14ac:dyDescent="0.25">
      <c r="A5" s="2" t="s">
        <v>2</v>
      </c>
      <c r="B5" s="2">
        <v>8</v>
      </c>
      <c r="C5" s="2">
        <v>30</v>
      </c>
      <c r="D5" s="2">
        <f>2*80</f>
        <v>160</v>
      </c>
      <c r="E5" s="3" t="s">
        <v>67</v>
      </c>
      <c r="F5" s="2">
        <v>1</v>
      </c>
      <c r="G5" s="2" t="s">
        <v>14</v>
      </c>
      <c r="H5" s="2">
        <v>2.5</v>
      </c>
      <c r="I5" s="4">
        <v>0.53200000000000003</v>
      </c>
      <c r="J5" s="2">
        <v>10</v>
      </c>
      <c r="K5" s="2">
        <v>2</v>
      </c>
      <c r="L5" s="2">
        <v>8</v>
      </c>
      <c r="M5" s="2">
        <f t="shared" si="0"/>
        <v>80</v>
      </c>
    </row>
    <row r="6" spans="1:27" x14ac:dyDescent="0.25">
      <c r="A6" s="2" t="s">
        <v>3</v>
      </c>
      <c r="B6" s="2">
        <v>32</v>
      </c>
      <c r="C6" s="2">
        <v>60</v>
      </c>
      <c r="D6" s="3">
        <f>2*320</f>
        <v>640</v>
      </c>
      <c r="E6" s="3" t="s">
        <v>67</v>
      </c>
      <c r="F6" s="2">
        <v>10</v>
      </c>
      <c r="G6" s="2" t="s">
        <v>15</v>
      </c>
      <c r="H6" s="2">
        <v>2.8</v>
      </c>
      <c r="I6" s="4">
        <v>1.68</v>
      </c>
      <c r="J6" s="2">
        <v>10</v>
      </c>
      <c r="K6" s="2">
        <v>2</v>
      </c>
      <c r="L6" s="2">
        <v>8</v>
      </c>
      <c r="M6" s="2">
        <f t="shared" si="0"/>
        <v>358.4</v>
      </c>
    </row>
    <row r="7" spans="1:27" x14ac:dyDescent="0.25">
      <c r="A7" s="2" t="s">
        <v>4</v>
      </c>
      <c r="B7" s="2">
        <v>8</v>
      </c>
      <c r="C7" s="2">
        <v>15</v>
      </c>
      <c r="D7" s="2">
        <f>1*60</f>
        <v>60</v>
      </c>
      <c r="E7" s="3" t="s">
        <v>67</v>
      </c>
      <c r="F7" s="2">
        <v>1</v>
      </c>
      <c r="G7" s="2" t="s">
        <v>16</v>
      </c>
      <c r="H7" s="2">
        <v>2.6</v>
      </c>
      <c r="I7" s="4">
        <v>0.65</v>
      </c>
      <c r="J7" s="2">
        <v>8</v>
      </c>
      <c r="K7" s="2">
        <v>2</v>
      </c>
      <c r="L7" s="2">
        <v>8</v>
      </c>
      <c r="M7" s="2">
        <f>(H7*L7*B7/K7)+2448.4</f>
        <v>2531.6</v>
      </c>
    </row>
    <row r="8" spans="1:27" x14ac:dyDescent="0.25">
      <c r="A8" s="2" t="s">
        <v>5</v>
      </c>
      <c r="B8" s="2">
        <v>16</v>
      </c>
      <c r="C8" s="2">
        <v>122</v>
      </c>
      <c r="D8" s="2">
        <f>1*320</f>
        <v>320</v>
      </c>
      <c r="E8" s="3" t="s">
        <v>67</v>
      </c>
      <c r="F8" s="2">
        <v>1</v>
      </c>
      <c r="G8" s="2" t="s">
        <v>14</v>
      </c>
      <c r="H8" s="2">
        <v>2.5</v>
      </c>
      <c r="I8" s="4">
        <v>1.33</v>
      </c>
      <c r="J8" s="2">
        <v>10</v>
      </c>
      <c r="K8" s="2">
        <v>2</v>
      </c>
      <c r="L8" s="2">
        <v>8</v>
      </c>
      <c r="M8" s="2">
        <f t="shared" si="0"/>
        <v>160</v>
      </c>
    </row>
    <row r="9" spans="1:27" x14ac:dyDescent="0.25">
      <c r="A9" s="2" t="s">
        <v>6</v>
      </c>
      <c r="B9" s="2">
        <v>32</v>
      </c>
      <c r="C9" s="2">
        <v>244</v>
      </c>
      <c r="D9" s="3">
        <f>8*800</f>
        <v>6400</v>
      </c>
      <c r="E9" s="3" t="s">
        <v>67</v>
      </c>
      <c r="F9" s="2">
        <v>10</v>
      </c>
      <c r="G9" s="2" t="s">
        <v>14</v>
      </c>
      <c r="H9" s="2">
        <v>2.5</v>
      </c>
      <c r="I9" s="4">
        <v>6.82</v>
      </c>
      <c r="J9" s="2">
        <v>10</v>
      </c>
      <c r="K9" s="2">
        <v>2</v>
      </c>
      <c r="L9" s="2">
        <v>8</v>
      </c>
      <c r="M9" s="2">
        <f t="shared" si="0"/>
        <v>320</v>
      </c>
    </row>
    <row r="10" spans="1:27" x14ac:dyDescent="0.25">
      <c r="A10" s="2" t="s">
        <v>7</v>
      </c>
      <c r="B10" s="2">
        <v>36</v>
      </c>
      <c r="C10" s="2">
        <v>244</v>
      </c>
      <c r="D10" s="2">
        <f>24*2000</f>
        <v>48000</v>
      </c>
      <c r="E10" s="3" t="s">
        <v>34</v>
      </c>
      <c r="F10" s="2">
        <v>10</v>
      </c>
      <c r="G10" s="2" t="s">
        <v>17</v>
      </c>
      <c r="H10" s="2">
        <v>2.4</v>
      </c>
      <c r="I10" s="4">
        <v>5.52</v>
      </c>
      <c r="J10" s="2">
        <v>12</v>
      </c>
      <c r="K10" s="2">
        <v>2</v>
      </c>
      <c r="L10" s="2">
        <v>16</v>
      </c>
      <c r="M10" s="2">
        <f t="shared" si="0"/>
        <v>691.19999999999993</v>
      </c>
    </row>
    <row r="12" spans="1:27" x14ac:dyDescent="0.25">
      <c r="A12" s="20" t="s">
        <v>49</v>
      </c>
      <c r="B12" s="19"/>
      <c r="C12" s="19"/>
      <c r="D12" s="19"/>
      <c r="E12" s="19"/>
      <c r="F12" s="19"/>
      <c r="G12" s="19"/>
      <c r="H12" s="19"/>
      <c r="I12" s="19"/>
    </row>
    <row r="13" spans="1:27" x14ac:dyDescent="0.25">
      <c r="C13" s="2">
        <v>1</v>
      </c>
      <c r="D13" s="2">
        <v>10</v>
      </c>
      <c r="E13" s="3">
        <v>100</v>
      </c>
      <c r="F13" s="2">
        <v>1000</v>
      </c>
      <c r="G13" s="2">
        <v>10000</v>
      </c>
      <c r="H13" s="2">
        <v>100000</v>
      </c>
      <c r="I13" s="14">
        <v>1000000</v>
      </c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</row>
    <row r="14" spans="1:27" x14ac:dyDescent="0.25">
      <c r="A14" s="2" t="str">
        <f>A3</f>
        <v>m4.10xlarge</v>
      </c>
      <c r="C14" s="2">
        <f t="shared" ref="C14:I14" si="1">_xlfn.CEILING.MATH(C$13/$M3)</f>
        <v>1</v>
      </c>
      <c r="D14" s="14">
        <f t="shared" si="1"/>
        <v>1</v>
      </c>
      <c r="E14" s="14">
        <f t="shared" si="1"/>
        <v>1</v>
      </c>
      <c r="F14" s="14">
        <f t="shared" si="1"/>
        <v>2</v>
      </c>
      <c r="G14" s="14">
        <f t="shared" si="1"/>
        <v>14</v>
      </c>
      <c r="H14" s="14">
        <f t="shared" si="1"/>
        <v>131</v>
      </c>
      <c r="I14" s="14">
        <f t="shared" si="1"/>
        <v>1303</v>
      </c>
    </row>
    <row r="15" spans="1:27" x14ac:dyDescent="0.25">
      <c r="A15" s="14" t="str">
        <f t="shared" ref="A15:A21" si="2">A4</f>
        <v>m3.large</v>
      </c>
      <c r="C15" s="14">
        <f t="shared" ref="C15:I15" si="3">_xlfn.CEILING.MATH(C$13/$M4)</f>
        <v>1</v>
      </c>
      <c r="D15" s="14">
        <f t="shared" si="3"/>
        <v>1</v>
      </c>
      <c r="E15" s="14">
        <f t="shared" si="3"/>
        <v>5</v>
      </c>
      <c r="F15" s="14">
        <f t="shared" si="3"/>
        <v>50</v>
      </c>
      <c r="G15" s="14">
        <f t="shared" si="3"/>
        <v>500</v>
      </c>
      <c r="H15" s="14">
        <f t="shared" si="3"/>
        <v>5000</v>
      </c>
      <c r="I15" s="14">
        <f t="shared" si="3"/>
        <v>50000</v>
      </c>
    </row>
    <row r="16" spans="1:27" x14ac:dyDescent="0.25">
      <c r="A16" s="14" t="str">
        <f t="shared" si="2"/>
        <v>m3.2xlarge</v>
      </c>
      <c r="C16" s="14">
        <f t="shared" ref="C16:I16" si="4">_xlfn.CEILING.MATH(C$13/$M5)</f>
        <v>1</v>
      </c>
      <c r="D16" s="14">
        <f t="shared" si="4"/>
        <v>1</v>
      </c>
      <c r="E16" s="14">
        <f t="shared" si="4"/>
        <v>2</v>
      </c>
      <c r="F16" s="14">
        <f t="shared" si="4"/>
        <v>13</v>
      </c>
      <c r="G16" s="14">
        <f t="shared" si="4"/>
        <v>125</v>
      </c>
      <c r="H16" s="14">
        <f t="shared" si="4"/>
        <v>1250</v>
      </c>
      <c r="I16" s="14">
        <f t="shared" si="4"/>
        <v>12500</v>
      </c>
    </row>
    <row r="17" spans="1:9" x14ac:dyDescent="0.25">
      <c r="A17" s="14" t="str">
        <f t="shared" si="2"/>
        <v>c3.8xlarge</v>
      </c>
      <c r="C17" s="14">
        <f t="shared" ref="C17:I17" si="5">_xlfn.CEILING.MATH(C$13/$M6)</f>
        <v>1</v>
      </c>
      <c r="D17" s="14">
        <f t="shared" si="5"/>
        <v>1</v>
      </c>
      <c r="E17" s="14">
        <f t="shared" si="5"/>
        <v>1</v>
      </c>
      <c r="F17" s="14">
        <f t="shared" si="5"/>
        <v>3</v>
      </c>
      <c r="G17" s="14">
        <f t="shared" si="5"/>
        <v>28</v>
      </c>
      <c r="H17" s="14">
        <f t="shared" si="5"/>
        <v>280</v>
      </c>
      <c r="I17" s="14">
        <f t="shared" si="5"/>
        <v>2791</v>
      </c>
    </row>
    <row r="18" spans="1:9" x14ac:dyDescent="0.25">
      <c r="A18" s="14" t="str">
        <f t="shared" si="2"/>
        <v>g2.2xlarge</v>
      </c>
      <c r="C18" s="14">
        <f t="shared" ref="C18:I18" si="6">_xlfn.CEILING.MATH(C$13/$M7)</f>
        <v>1</v>
      </c>
      <c r="D18" s="14">
        <f t="shared" si="6"/>
        <v>1</v>
      </c>
      <c r="E18" s="14">
        <f t="shared" si="6"/>
        <v>1</v>
      </c>
      <c r="F18" s="14">
        <f t="shared" si="6"/>
        <v>1</v>
      </c>
      <c r="G18" s="14">
        <f t="shared" si="6"/>
        <v>4</v>
      </c>
      <c r="H18" s="14">
        <f t="shared" si="6"/>
        <v>40</v>
      </c>
      <c r="I18" s="14">
        <f t="shared" si="6"/>
        <v>396</v>
      </c>
    </row>
    <row r="19" spans="1:9" x14ac:dyDescent="0.25">
      <c r="A19" s="14" t="str">
        <f t="shared" si="2"/>
        <v>r3.4xlarge</v>
      </c>
      <c r="C19" s="14">
        <f t="shared" ref="C19:I19" si="7">_xlfn.CEILING.MATH(C$13/$M8)</f>
        <v>1</v>
      </c>
      <c r="D19" s="14">
        <f t="shared" si="7"/>
        <v>1</v>
      </c>
      <c r="E19" s="14">
        <f t="shared" si="7"/>
        <v>1</v>
      </c>
      <c r="F19" s="14">
        <f t="shared" si="7"/>
        <v>7</v>
      </c>
      <c r="G19" s="14">
        <f t="shared" si="7"/>
        <v>63</v>
      </c>
      <c r="H19" s="14">
        <f t="shared" si="7"/>
        <v>625</v>
      </c>
      <c r="I19" s="14">
        <f t="shared" si="7"/>
        <v>6250</v>
      </c>
    </row>
    <row r="20" spans="1:9" x14ac:dyDescent="0.25">
      <c r="A20" s="14" t="str">
        <f t="shared" si="2"/>
        <v>i2.8xlarge</v>
      </c>
      <c r="C20" s="14">
        <f t="shared" ref="C20:I20" si="8">_xlfn.CEILING.MATH(C$13/$M9)</f>
        <v>1</v>
      </c>
      <c r="D20" s="14">
        <f t="shared" si="8"/>
        <v>1</v>
      </c>
      <c r="E20" s="14">
        <f t="shared" si="8"/>
        <v>1</v>
      </c>
      <c r="F20" s="14">
        <f t="shared" si="8"/>
        <v>4</v>
      </c>
      <c r="G20" s="14">
        <f t="shared" si="8"/>
        <v>32</v>
      </c>
      <c r="H20" s="14">
        <f t="shared" si="8"/>
        <v>313</v>
      </c>
      <c r="I20" s="14">
        <f t="shared" si="8"/>
        <v>3125</v>
      </c>
    </row>
    <row r="21" spans="1:9" x14ac:dyDescent="0.25">
      <c r="A21" s="14" t="str">
        <f t="shared" si="2"/>
        <v>d2.8xlarge</v>
      </c>
      <c r="C21" s="14">
        <f t="shared" ref="C21:I21" si="9">_xlfn.CEILING.MATH(C$13/$M10)</f>
        <v>1</v>
      </c>
      <c r="D21" s="14">
        <f t="shared" si="9"/>
        <v>1</v>
      </c>
      <c r="E21" s="14">
        <f t="shared" si="9"/>
        <v>1</v>
      </c>
      <c r="F21" s="14">
        <f t="shared" si="9"/>
        <v>2</v>
      </c>
      <c r="G21" s="14">
        <f t="shared" si="9"/>
        <v>15</v>
      </c>
      <c r="H21" s="14">
        <f t="shared" si="9"/>
        <v>145</v>
      </c>
      <c r="I21" s="14">
        <f t="shared" si="9"/>
        <v>1447</v>
      </c>
    </row>
  </sheetData>
  <mergeCells count="2">
    <mergeCell ref="A1:I1"/>
    <mergeCell ref="A12:I1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8"/>
  <sheetViews>
    <sheetView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B11" sqref="B11"/>
    </sheetView>
  </sheetViews>
  <sheetFormatPr defaultRowHeight="15" x14ac:dyDescent="0.25"/>
  <cols>
    <col min="1" max="1" width="13.28515625" style="2" customWidth="1"/>
    <col min="2" max="9" width="24.85546875" style="2" customWidth="1"/>
    <col min="10" max="16384" width="9.140625" style="2"/>
  </cols>
  <sheetData>
    <row r="1" spans="1:10" x14ac:dyDescent="0.25">
      <c r="A1" s="6" t="s">
        <v>18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10" ht="90" x14ac:dyDescent="0.25">
      <c r="A2" s="5" t="s">
        <v>9</v>
      </c>
      <c r="B2" s="2" t="s">
        <v>50</v>
      </c>
      <c r="C2" s="2" t="s">
        <v>45</v>
      </c>
      <c r="D2" s="2" t="s">
        <v>45</v>
      </c>
      <c r="E2" s="2" t="s">
        <v>46</v>
      </c>
      <c r="F2" s="2" t="s">
        <v>47</v>
      </c>
      <c r="G2" s="2" t="s">
        <v>45</v>
      </c>
      <c r="H2" s="2" t="s">
        <v>45</v>
      </c>
      <c r="I2" s="2" t="s">
        <v>50</v>
      </c>
    </row>
    <row r="3" spans="1:10" ht="30" x14ac:dyDescent="0.25">
      <c r="A3" s="5" t="s">
        <v>10</v>
      </c>
      <c r="B3" s="2">
        <v>2.4</v>
      </c>
      <c r="C3" s="2">
        <v>2.5</v>
      </c>
      <c r="D3" s="2">
        <v>2.5</v>
      </c>
      <c r="E3" s="2">
        <v>2.8</v>
      </c>
      <c r="F3" s="2">
        <v>2.6</v>
      </c>
      <c r="G3" s="2">
        <v>2.5</v>
      </c>
      <c r="H3" s="2">
        <v>2.5</v>
      </c>
      <c r="I3" s="2">
        <v>2.4</v>
      </c>
    </row>
    <row r="4" spans="1:10" ht="30" x14ac:dyDescent="0.25">
      <c r="A4" s="5" t="s">
        <v>21</v>
      </c>
      <c r="B4" s="2">
        <v>10</v>
      </c>
      <c r="C4" s="2">
        <v>12</v>
      </c>
      <c r="D4" s="2">
        <v>12</v>
      </c>
      <c r="E4" s="2">
        <v>12</v>
      </c>
      <c r="F4" s="2">
        <v>12</v>
      </c>
      <c r="G4" s="2">
        <v>12</v>
      </c>
      <c r="H4" s="2">
        <v>12</v>
      </c>
      <c r="I4" s="2">
        <v>10</v>
      </c>
    </row>
    <row r="5" spans="1:10" ht="60" x14ac:dyDescent="0.25">
      <c r="A5" s="5" t="s">
        <v>23</v>
      </c>
      <c r="B5" s="2">
        <v>2</v>
      </c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</row>
    <row r="6" spans="1:10" ht="30" x14ac:dyDescent="0.25">
      <c r="A6" s="5" t="s">
        <v>22</v>
      </c>
      <c r="B6" s="2">
        <v>16</v>
      </c>
      <c r="C6" s="2">
        <v>16</v>
      </c>
      <c r="D6" s="2">
        <v>16</v>
      </c>
      <c r="E6" s="2">
        <v>8</v>
      </c>
      <c r="F6" s="2">
        <v>16</v>
      </c>
      <c r="G6" s="2">
        <v>16</v>
      </c>
      <c r="H6" s="2">
        <v>16</v>
      </c>
      <c r="I6" s="2">
        <v>16</v>
      </c>
    </row>
    <row r="7" spans="1:10" ht="45" x14ac:dyDescent="0.25">
      <c r="A7" s="5" t="s">
        <v>51</v>
      </c>
      <c r="B7" s="2">
        <f>B4*B5</f>
        <v>20</v>
      </c>
      <c r="C7" s="2">
        <f t="shared" ref="C7:I7" si="0">C4*C5</f>
        <v>24</v>
      </c>
      <c r="D7" s="2">
        <f t="shared" si="0"/>
        <v>24</v>
      </c>
      <c r="E7" s="2">
        <f t="shared" si="0"/>
        <v>24</v>
      </c>
      <c r="F7" s="2">
        <f t="shared" si="0"/>
        <v>24</v>
      </c>
      <c r="G7" s="2">
        <f t="shared" si="0"/>
        <v>24</v>
      </c>
      <c r="H7" s="2">
        <f t="shared" si="0"/>
        <v>24</v>
      </c>
      <c r="I7" s="2">
        <f t="shared" si="0"/>
        <v>20</v>
      </c>
    </row>
    <row r="8" spans="1:10" ht="30" x14ac:dyDescent="0.25">
      <c r="A8" s="5" t="s">
        <v>52</v>
      </c>
      <c r="B8" s="2">
        <f>Sheet1!M3</f>
        <v>768</v>
      </c>
      <c r="C8" s="2">
        <f>Sheet1!M4</f>
        <v>20</v>
      </c>
      <c r="D8" s="2">
        <f>Sheet1!M5</f>
        <v>80</v>
      </c>
      <c r="E8" s="2">
        <f>Sheet1!M6</f>
        <v>358.4</v>
      </c>
      <c r="F8" s="2">
        <f>Sheet1!M7</f>
        <v>2531.6</v>
      </c>
      <c r="G8" s="2">
        <f>Sheet1!M8</f>
        <v>160</v>
      </c>
      <c r="H8" s="2">
        <f>Sheet1!M9</f>
        <v>320</v>
      </c>
      <c r="I8" s="2">
        <f>Sheet1!M10</f>
        <v>691.19999999999993</v>
      </c>
    </row>
    <row r="9" spans="1:10" ht="30" x14ac:dyDescent="0.25">
      <c r="A9" s="5" t="s">
        <v>53</v>
      </c>
      <c r="B9" s="2">
        <f>B6*B4*B3</f>
        <v>384</v>
      </c>
      <c r="C9" s="2">
        <f t="shared" ref="C9:I9" si="1">C6*C4*C3</f>
        <v>480</v>
      </c>
      <c r="D9" s="2">
        <f t="shared" si="1"/>
        <v>480</v>
      </c>
      <c r="E9" s="2">
        <f t="shared" si="1"/>
        <v>268.79999999999995</v>
      </c>
      <c r="F9" s="2">
        <f t="shared" si="1"/>
        <v>499.20000000000005</v>
      </c>
      <c r="G9" s="2">
        <f t="shared" si="1"/>
        <v>480</v>
      </c>
      <c r="H9" s="2">
        <f t="shared" si="1"/>
        <v>480</v>
      </c>
      <c r="I9" s="2">
        <f t="shared" si="1"/>
        <v>384</v>
      </c>
    </row>
    <row r="10" spans="1:10" ht="30" x14ac:dyDescent="0.25">
      <c r="A10" s="5" t="s">
        <v>54</v>
      </c>
      <c r="B10" s="2">
        <v>2</v>
      </c>
      <c r="C10" s="2">
        <v>2</v>
      </c>
      <c r="D10" s="2">
        <v>2</v>
      </c>
      <c r="E10" s="2">
        <v>2</v>
      </c>
      <c r="F10" s="2">
        <v>2</v>
      </c>
      <c r="G10" s="2">
        <v>2</v>
      </c>
      <c r="H10" s="2">
        <v>2</v>
      </c>
      <c r="I10" s="2">
        <v>2</v>
      </c>
    </row>
    <row r="11" spans="1:10" ht="30" x14ac:dyDescent="0.25">
      <c r="A11" s="5" t="s">
        <v>55</v>
      </c>
      <c r="B11" s="2">
        <f>B9*B10</f>
        <v>768</v>
      </c>
      <c r="C11" s="2">
        <f t="shared" ref="C11:I11" si="2">C9*C10</f>
        <v>960</v>
      </c>
      <c r="D11" s="2">
        <f t="shared" si="2"/>
        <v>960</v>
      </c>
      <c r="E11" s="2">
        <f t="shared" si="2"/>
        <v>537.59999999999991</v>
      </c>
      <c r="F11" s="2">
        <f>(F9*F10)+(2448.4*6)</f>
        <v>15688.800000000001</v>
      </c>
      <c r="G11" s="2">
        <f t="shared" si="2"/>
        <v>960</v>
      </c>
      <c r="H11" s="2">
        <f t="shared" si="2"/>
        <v>960</v>
      </c>
      <c r="I11" s="2">
        <f t="shared" si="2"/>
        <v>768</v>
      </c>
    </row>
    <row r="12" spans="1:10" ht="45" x14ac:dyDescent="0.25">
      <c r="A12" s="5" t="s">
        <v>42</v>
      </c>
      <c r="B12" s="2">
        <f t="shared" ref="B12:H12" si="3">_xlfn.FLOOR.MATH(B11/B8)</f>
        <v>1</v>
      </c>
      <c r="C12" s="2">
        <f t="shared" si="3"/>
        <v>48</v>
      </c>
      <c r="D12" s="2">
        <f t="shared" si="3"/>
        <v>12</v>
      </c>
      <c r="E12" s="2">
        <f t="shared" si="3"/>
        <v>1</v>
      </c>
      <c r="F12" s="2">
        <f t="shared" si="3"/>
        <v>6</v>
      </c>
      <c r="G12" s="2">
        <f t="shared" si="3"/>
        <v>6</v>
      </c>
      <c r="H12" s="2">
        <f t="shared" si="3"/>
        <v>3</v>
      </c>
      <c r="I12" s="2">
        <f>_xlfn.FLOOR.MATH(I11/I8)</f>
        <v>1</v>
      </c>
    </row>
    <row r="13" spans="1:10" ht="30" x14ac:dyDescent="0.25">
      <c r="A13" s="5" t="s">
        <v>24</v>
      </c>
      <c r="B13" s="2" t="s">
        <v>25</v>
      </c>
      <c r="C13" s="2" t="s">
        <v>25</v>
      </c>
      <c r="D13" s="2" t="s">
        <v>25</v>
      </c>
      <c r="E13" s="2" t="s">
        <v>25</v>
      </c>
      <c r="F13" s="2" t="s">
        <v>25</v>
      </c>
      <c r="G13" s="2" t="s">
        <v>25</v>
      </c>
      <c r="H13" s="2" t="s">
        <v>25</v>
      </c>
      <c r="I13" s="2" t="s">
        <v>25</v>
      </c>
    </row>
    <row r="14" spans="1:10" ht="30" x14ac:dyDescent="0.25">
      <c r="A14" s="5" t="s">
        <v>20</v>
      </c>
      <c r="B14" s="2">
        <f>Sheet1!C3*B12</f>
        <v>160</v>
      </c>
      <c r="C14" s="2">
        <f>Sheet1!C4*C12</f>
        <v>360</v>
      </c>
      <c r="D14" s="2">
        <f>Sheet1!C5*D12</f>
        <v>360</v>
      </c>
      <c r="E14" s="2">
        <f>Sheet1!C6*E12</f>
        <v>60</v>
      </c>
      <c r="F14" s="2">
        <f>Sheet1!C7*F12</f>
        <v>90</v>
      </c>
      <c r="G14" s="2">
        <f>Sheet1!C8*G12</f>
        <v>732</v>
      </c>
      <c r="H14" s="2">
        <f>Sheet1!C9*H12</f>
        <v>732</v>
      </c>
      <c r="I14" s="2">
        <f>Sheet1!C10*I12</f>
        <v>244</v>
      </c>
    </row>
    <row r="15" spans="1:10" x14ac:dyDescent="0.25">
      <c r="A15" s="5" t="s">
        <v>8</v>
      </c>
      <c r="B15" s="2">
        <f>B12*Sheet1!D3</f>
        <v>0</v>
      </c>
      <c r="C15" s="2">
        <f>C12*Sheet1!D4</f>
        <v>1536</v>
      </c>
      <c r="D15" s="2">
        <f>D12*Sheet1!D5</f>
        <v>1920</v>
      </c>
      <c r="E15" s="3">
        <f>E12*Sheet1!D6</f>
        <v>640</v>
      </c>
      <c r="F15" s="3">
        <f>F12*Sheet1!D7</f>
        <v>360</v>
      </c>
      <c r="G15" s="3">
        <f>G12*Sheet1!D8</f>
        <v>1920</v>
      </c>
      <c r="H15" s="3">
        <f>H12*Sheet1!D9</f>
        <v>19200</v>
      </c>
      <c r="I15" s="3">
        <f>I12*Sheet1!D10</f>
        <v>48000</v>
      </c>
      <c r="J15" s="3"/>
    </row>
    <row r="16" spans="1:10" ht="45" x14ac:dyDescent="0.25">
      <c r="A16" s="5" t="s">
        <v>57</v>
      </c>
      <c r="B16" s="2">
        <f>Sheet1!F3*B12</f>
        <v>10</v>
      </c>
      <c r="C16" s="2">
        <f>Sheet1!F4*C12</f>
        <v>24</v>
      </c>
      <c r="D16" s="2">
        <f>Sheet1!F5*D12</f>
        <v>12</v>
      </c>
      <c r="E16" s="2">
        <f>Sheet1!F6*E12</f>
        <v>10</v>
      </c>
      <c r="F16" s="2">
        <f>Sheet1!F7*F12</f>
        <v>6</v>
      </c>
      <c r="G16" s="2">
        <f>Sheet1!F8*G12</f>
        <v>6</v>
      </c>
      <c r="H16" s="2">
        <f>Sheet1!F9*H12</f>
        <v>30</v>
      </c>
      <c r="I16" s="2">
        <f>Sheet1!F10*I12</f>
        <v>10</v>
      </c>
    </row>
    <row r="17" spans="1:9" ht="45" x14ac:dyDescent="0.25">
      <c r="A17" s="5" t="s">
        <v>90</v>
      </c>
      <c r="B17" s="2">
        <f>(259/1000)*24*1826</f>
        <v>11350.416000000001</v>
      </c>
      <c r="C17" s="2">
        <f>(419/1000)*24*1826</f>
        <v>18362.255999999998</v>
      </c>
      <c r="D17" s="3">
        <f>(419/1000)*24*1826</f>
        <v>18362.255999999998</v>
      </c>
      <c r="E17" s="2">
        <f>(288/1000)*24*1826</f>
        <v>12621.311999999998</v>
      </c>
      <c r="F17" s="2">
        <f>(1000/1000)*24*1826</f>
        <v>43824</v>
      </c>
      <c r="G17" s="2">
        <f>(419/1000)*24*1826</f>
        <v>18362.255999999998</v>
      </c>
      <c r="H17" s="2">
        <f>(620/1000)*24*1826</f>
        <v>27170.879999999997</v>
      </c>
      <c r="I17" s="2">
        <f>(485/1000)*24*1826</f>
        <v>21254.639999999999</v>
      </c>
    </row>
    <row r="18" spans="1:9" ht="30" x14ac:dyDescent="0.25">
      <c r="A18" s="5" t="s">
        <v>91</v>
      </c>
      <c r="B18" s="2">
        <f>B17</f>
        <v>11350.416000000001</v>
      </c>
      <c r="C18" s="8">
        <f t="shared" ref="C18:I18" si="4">C17</f>
        <v>18362.255999999998</v>
      </c>
      <c r="D18" s="8">
        <f t="shared" si="4"/>
        <v>18362.255999999998</v>
      </c>
      <c r="E18" s="8">
        <f t="shared" si="4"/>
        <v>12621.311999999998</v>
      </c>
      <c r="F18" s="8">
        <f t="shared" si="4"/>
        <v>43824</v>
      </c>
      <c r="G18" s="8">
        <f t="shared" si="4"/>
        <v>18362.255999999998</v>
      </c>
      <c r="H18" s="8">
        <f t="shared" si="4"/>
        <v>27170.879999999997</v>
      </c>
      <c r="I18" s="8">
        <f t="shared" si="4"/>
        <v>21254.639999999999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8"/>
  <sheetViews>
    <sheetView workbookViewId="0"/>
  </sheetViews>
  <sheetFormatPr defaultRowHeight="15" x14ac:dyDescent="0.25"/>
  <cols>
    <col min="1" max="1" width="13.28515625" style="2" customWidth="1"/>
    <col min="2" max="9" width="20" style="2" customWidth="1"/>
    <col min="10" max="10" width="24.85546875" style="2" customWidth="1"/>
    <col min="11" max="16384" width="9.140625" style="2"/>
  </cols>
  <sheetData>
    <row r="1" spans="1:9" x14ac:dyDescent="0.25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 ht="45" x14ac:dyDescent="0.25">
      <c r="A2" s="2" t="s">
        <v>40</v>
      </c>
      <c r="B2" s="2" t="s">
        <v>96</v>
      </c>
      <c r="C2" s="7" t="s">
        <v>96</v>
      </c>
      <c r="D2" s="7" t="s">
        <v>96</v>
      </c>
      <c r="E2" s="7" t="s">
        <v>96</v>
      </c>
      <c r="F2" s="7" t="s">
        <v>96</v>
      </c>
      <c r="G2" s="7" t="s">
        <v>96</v>
      </c>
      <c r="H2" s="7" t="s">
        <v>96</v>
      </c>
      <c r="I2" s="7" t="s">
        <v>96</v>
      </c>
    </row>
    <row r="3" spans="1:9" ht="105" x14ac:dyDescent="0.25">
      <c r="A3" s="2" t="s">
        <v>26</v>
      </c>
      <c r="B3" s="2" t="s">
        <v>50</v>
      </c>
      <c r="C3" s="2" t="s">
        <v>45</v>
      </c>
      <c r="D3" s="2" t="s">
        <v>45</v>
      </c>
      <c r="E3" s="2" t="s">
        <v>46</v>
      </c>
      <c r="F3" s="2" t="s">
        <v>47</v>
      </c>
      <c r="G3" s="2" t="s">
        <v>45</v>
      </c>
      <c r="H3" s="2" t="s">
        <v>45</v>
      </c>
      <c r="I3" s="2" t="s">
        <v>50</v>
      </c>
    </row>
    <row r="4" spans="1:9" ht="30" x14ac:dyDescent="0.25">
      <c r="A4" s="2" t="s">
        <v>60</v>
      </c>
      <c r="B4" s="2">
        <v>2</v>
      </c>
      <c r="C4" s="2">
        <v>2</v>
      </c>
      <c r="D4" s="2">
        <v>2</v>
      </c>
      <c r="E4" s="2">
        <v>2</v>
      </c>
      <c r="F4" s="2">
        <v>2</v>
      </c>
      <c r="G4" s="2">
        <v>2</v>
      </c>
      <c r="H4" s="2">
        <v>2</v>
      </c>
      <c r="I4" s="2">
        <v>2</v>
      </c>
    </row>
    <row r="5" spans="1:9" ht="120" x14ac:dyDescent="0.25">
      <c r="A5" s="2" t="s">
        <v>29</v>
      </c>
      <c r="B5" s="2" t="s">
        <v>59</v>
      </c>
      <c r="C5" s="2" t="s">
        <v>59</v>
      </c>
      <c r="D5" s="2" t="s">
        <v>59</v>
      </c>
      <c r="E5" s="2" t="s">
        <v>63</v>
      </c>
      <c r="F5" s="2" t="s">
        <v>63</v>
      </c>
      <c r="G5" s="2" t="s">
        <v>64</v>
      </c>
      <c r="H5" s="2" t="s">
        <v>64</v>
      </c>
      <c r="I5" s="2" t="s">
        <v>63</v>
      </c>
    </row>
    <row r="6" spans="1:9" ht="30" x14ac:dyDescent="0.25">
      <c r="A6" s="2" t="s">
        <v>61</v>
      </c>
      <c r="B6" s="2">
        <v>10</v>
      </c>
      <c r="C6" s="2">
        <v>23</v>
      </c>
      <c r="D6" s="2">
        <v>23</v>
      </c>
      <c r="E6" s="2">
        <v>1</v>
      </c>
      <c r="F6" s="2">
        <v>2</v>
      </c>
      <c r="G6" s="2">
        <v>23</v>
      </c>
      <c r="H6" s="2">
        <v>23</v>
      </c>
      <c r="I6" s="2">
        <v>4</v>
      </c>
    </row>
    <row r="7" spans="1:9" ht="75" x14ac:dyDescent="0.25">
      <c r="A7" s="2" t="s">
        <v>37</v>
      </c>
      <c r="B7" s="2" t="s">
        <v>58</v>
      </c>
      <c r="C7" s="2" t="s">
        <v>58</v>
      </c>
      <c r="D7" s="2" t="s">
        <v>58</v>
      </c>
      <c r="E7" s="2" t="s">
        <v>58</v>
      </c>
      <c r="F7" s="2" t="s">
        <v>58</v>
      </c>
      <c r="G7" s="2" t="s">
        <v>58</v>
      </c>
      <c r="H7" s="2" t="s">
        <v>58</v>
      </c>
      <c r="I7" s="2" t="s">
        <v>58</v>
      </c>
    </row>
    <row r="8" spans="1:9" ht="90" x14ac:dyDescent="0.25">
      <c r="A8" s="2" t="s">
        <v>34</v>
      </c>
      <c r="B8" s="2" t="s">
        <v>80</v>
      </c>
      <c r="C8" s="2" t="s">
        <v>69</v>
      </c>
      <c r="D8" s="3" t="s">
        <v>69</v>
      </c>
      <c r="E8" s="3" t="s">
        <v>69</v>
      </c>
      <c r="F8" s="3" t="s">
        <v>69</v>
      </c>
      <c r="G8" s="3" t="s">
        <v>69</v>
      </c>
      <c r="H8" s="2" t="s">
        <v>72</v>
      </c>
      <c r="I8" s="2" t="s">
        <v>73</v>
      </c>
    </row>
    <row r="9" spans="1:9" x14ac:dyDescent="0.25">
      <c r="A9" s="2" t="s">
        <v>62</v>
      </c>
      <c r="B9" s="2">
        <v>1</v>
      </c>
      <c r="C9" s="2">
        <v>2</v>
      </c>
      <c r="D9" s="3">
        <v>2</v>
      </c>
      <c r="E9" s="3">
        <v>1</v>
      </c>
      <c r="F9" s="3">
        <v>1</v>
      </c>
      <c r="G9" s="3">
        <v>2</v>
      </c>
      <c r="H9" s="2">
        <v>10</v>
      </c>
      <c r="I9" s="2">
        <v>6</v>
      </c>
    </row>
    <row r="10" spans="1:9" ht="45" x14ac:dyDescent="0.25">
      <c r="A10" s="2" t="s">
        <v>68</v>
      </c>
      <c r="B10" s="2">
        <f>105290*5</f>
        <v>526450</v>
      </c>
      <c r="C10" s="8">
        <f t="shared" ref="C10:I10" si="0">105290*5</f>
        <v>526450</v>
      </c>
      <c r="D10" s="8">
        <f t="shared" si="0"/>
        <v>526450</v>
      </c>
      <c r="E10" s="8">
        <f t="shared" si="0"/>
        <v>526450</v>
      </c>
      <c r="F10" s="8">
        <f t="shared" si="0"/>
        <v>526450</v>
      </c>
      <c r="G10" s="8">
        <f t="shared" si="0"/>
        <v>526450</v>
      </c>
      <c r="H10" s="8">
        <f t="shared" si="0"/>
        <v>526450</v>
      </c>
      <c r="I10" s="8">
        <f t="shared" si="0"/>
        <v>526450</v>
      </c>
    </row>
    <row r="11" spans="1:9" s="3" customFormat="1" ht="90" x14ac:dyDescent="0.25">
      <c r="A11" s="3" t="s">
        <v>75</v>
      </c>
      <c r="B11" s="3" t="s">
        <v>74</v>
      </c>
      <c r="C11" s="3" t="s">
        <v>74</v>
      </c>
      <c r="D11" s="3" t="s">
        <v>74</v>
      </c>
      <c r="E11" s="3" t="s">
        <v>74</v>
      </c>
      <c r="F11" s="3" t="s">
        <v>74</v>
      </c>
      <c r="G11" s="3" t="s">
        <v>74</v>
      </c>
      <c r="H11" s="3" t="s">
        <v>74</v>
      </c>
      <c r="I11" s="3" t="s">
        <v>74</v>
      </c>
    </row>
    <row r="12" spans="1:9" x14ac:dyDescent="0.25">
      <c r="A12" s="2" t="s">
        <v>76</v>
      </c>
      <c r="B12" s="2">
        <f>1/13</f>
        <v>7.6923076923076927E-2</v>
      </c>
      <c r="C12" s="3">
        <f t="shared" ref="C12:I12" si="1">1/13</f>
        <v>7.6923076923076927E-2</v>
      </c>
      <c r="D12" s="3">
        <f t="shared" si="1"/>
        <v>7.6923076923076927E-2</v>
      </c>
      <c r="E12" s="3">
        <f t="shared" si="1"/>
        <v>7.6923076923076927E-2</v>
      </c>
      <c r="F12" s="3">
        <f t="shared" si="1"/>
        <v>7.6923076923076927E-2</v>
      </c>
      <c r="G12" s="3">
        <f t="shared" si="1"/>
        <v>7.6923076923076927E-2</v>
      </c>
      <c r="H12" s="3">
        <f t="shared" si="1"/>
        <v>7.6923076923076927E-2</v>
      </c>
      <c r="I12" s="3">
        <f t="shared" si="1"/>
        <v>7.6923076923076927E-2</v>
      </c>
    </row>
    <row r="13" spans="1:9" ht="75" x14ac:dyDescent="0.25">
      <c r="A13" s="2" t="s">
        <v>35</v>
      </c>
      <c r="C13" s="3" t="s">
        <v>85</v>
      </c>
      <c r="H13" s="2" t="s">
        <v>85</v>
      </c>
    </row>
    <row r="14" spans="1:9" ht="45" x14ac:dyDescent="0.25">
      <c r="A14" s="3" t="s">
        <v>77</v>
      </c>
      <c r="C14" s="3">
        <v>1</v>
      </c>
      <c r="H14" s="2">
        <v>1</v>
      </c>
    </row>
    <row r="15" spans="1:9" s="3" customFormat="1" ht="75" x14ac:dyDescent="0.25">
      <c r="A15" s="3" t="s">
        <v>38</v>
      </c>
      <c r="B15" s="3" t="s">
        <v>78</v>
      </c>
      <c r="C15" s="3" t="s">
        <v>78</v>
      </c>
      <c r="D15" s="3" t="s">
        <v>78</v>
      </c>
      <c r="E15" s="3" t="s">
        <v>78</v>
      </c>
      <c r="F15" s="3" t="s">
        <v>78</v>
      </c>
      <c r="G15" s="3" t="s">
        <v>78</v>
      </c>
      <c r="H15" s="3" t="s">
        <v>78</v>
      </c>
      <c r="I15" s="3" t="s">
        <v>78</v>
      </c>
    </row>
    <row r="16" spans="1:9" s="3" customFormat="1" x14ac:dyDescent="0.25">
      <c r="A16" s="3" t="s">
        <v>79</v>
      </c>
      <c r="B16" s="3">
        <f t="shared" ref="B16:I16" si="2">1/42</f>
        <v>2.3809523809523808E-2</v>
      </c>
      <c r="C16" s="3">
        <f t="shared" si="2"/>
        <v>2.3809523809523808E-2</v>
      </c>
      <c r="D16" s="3">
        <f t="shared" si="2"/>
        <v>2.3809523809523808E-2</v>
      </c>
      <c r="E16" s="3">
        <f t="shared" si="2"/>
        <v>2.3809523809523808E-2</v>
      </c>
      <c r="F16" s="3">
        <f t="shared" si="2"/>
        <v>2.3809523809523808E-2</v>
      </c>
      <c r="G16" s="3">
        <f t="shared" si="2"/>
        <v>2.3809523809523808E-2</v>
      </c>
      <c r="H16" s="3">
        <f t="shared" si="2"/>
        <v>2.3809523809523808E-2</v>
      </c>
      <c r="I16" s="3">
        <f t="shared" si="2"/>
        <v>2.3809523809523808E-2</v>
      </c>
    </row>
    <row r="17" spans="1:9" ht="75" x14ac:dyDescent="0.25">
      <c r="A17" s="2" t="s">
        <v>83</v>
      </c>
      <c r="F17" s="2" t="s">
        <v>82</v>
      </c>
    </row>
    <row r="18" spans="1:9" x14ac:dyDescent="0.25">
      <c r="A18" s="2" t="s">
        <v>84</v>
      </c>
      <c r="F18" s="2">
        <v>3</v>
      </c>
    </row>
    <row r="19" spans="1:9" ht="90" x14ac:dyDescent="0.25">
      <c r="A19" s="2" t="s">
        <v>36</v>
      </c>
      <c r="B19" s="2" t="s">
        <v>87</v>
      </c>
      <c r="C19" s="2" t="s">
        <v>87</v>
      </c>
      <c r="D19" s="2" t="s">
        <v>87</v>
      </c>
      <c r="E19" s="3" t="s">
        <v>87</v>
      </c>
      <c r="F19" s="3" t="s">
        <v>87</v>
      </c>
      <c r="G19" s="3" t="s">
        <v>87</v>
      </c>
      <c r="H19" s="3" t="s">
        <v>87</v>
      </c>
      <c r="I19" s="3" t="s">
        <v>87</v>
      </c>
    </row>
    <row r="20" spans="1:9" ht="45" x14ac:dyDescent="0.25">
      <c r="A20" s="3" t="s">
        <v>86</v>
      </c>
      <c r="B20" s="3">
        <f>(1/28)*_xlfn.CEILING.MATH(PrCloudDet!B16/10)</f>
        <v>3.5714285714285712E-2</v>
      </c>
      <c r="C20" s="3">
        <f>(1/28)*_xlfn.CEILING.MATH(PrCloudDet!C16/10)</f>
        <v>0.10714285714285714</v>
      </c>
      <c r="D20" s="3">
        <f>(1/28)*_xlfn.CEILING.MATH(PrCloudDet!D16/10)</f>
        <v>7.1428571428571425E-2</v>
      </c>
      <c r="E20" s="3">
        <f>(1/28)*_xlfn.CEILING.MATH(PrCloudDet!E16/10)</f>
        <v>3.5714285714285712E-2</v>
      </c>
      <c r="F20" s="3">
        <f>(1/28)*_xlfn.CEILING.MATH(PrCloudDet!F16/10)</f>
        <v>3.5714285714285712E-2</v>
      </c>
      <c r="G20" s="3">
        <f>(1/28)*_xlfn.CEILING.MATH(PrCloudDet!G16/10)</f>
        <v>3.5714285714285712E-2</v>
      </c>
      <c r="H20" s="3">
        <f>(1/28)*_xlfn.CEILING.MATH(PrCloudDet!H16/10)</f>
        <v>0.10714285714285714</v>
      </c>
      <c r="I20" s="3">
        <f>(1/28)*_xlfn.CEILING.MATH(PrCloudDet!I16/10)</f>
        <v>3.5714285714285712E-2</v>
      </c>
    </row>
    <row r="21" spans="1:9" ht="30" x14ac:dyDescent="0.25">
      <c r="A21" s="2" t="s">
        <v>89</v>
      </c>
      <c r="B21" s="2">
        <f>PrCloudDet!B17</f>
        <v>11350.416000000001</v>
      </c>
      <c r="C21" s="3">
        <f>PrCloudDet!C17</f>
        <v>18362.255999999998</v>
      </c>
      <c r="D21" s="3">
        <f>PrCloudDet!D17</f>
        <v>18362.255999999998</v>
      </c>
      <c r="E21" s="3">
        <f>PrCloudDet!E17</f>
        <v>12621.311999999998</v>
      </c>
      <c r="F21" s="3">
        <f>PrCloudDet!F17</f>
        <v>43824</v>
      </c>
      <c r="G21" s="3">
        <f>PrCloudDet!G17</f>
        <v>18362.255999999998</v>
      </c>
      <c r="H21" s="3">
        <f>PrCloudDet!H17</f>
        <v>27170.879999999997</v>
      </c>
      <c r="I21" s="3">
        <f>PrCloudDet!I17</f>
        <v>21254.639999999999</v>
      </c>
    </row>
    <row r="22" spans="1:9" ht="30" x14ac:dyDescent="0.25">
      <c r="A22" s="2" t="s">
        <v>91</v>
      </c>
      <c r="B22" s="3">
        <f>PrCloudDet!B18</f>
        <v>11350.416000000001</v>
      </c>
      <c r="C22" s="3">
        <f>PrCloudDet!C18</f>
        <v>18362.255999999998</v>
      </c>
      <c r="D22" s="3">
        <f>PrCloudDet!D18</f>
        <v>18362.255999999998</v>
      </c>
      <c r="E22" s="3">
        <f>PrCloudDet!E18</f>
        <v>12621.311999999998</v>
      </c>
      <c r="F22" s="3">
        <f>PrCloudDet!F18</f>
        <v>43824</v>
      </c>
      <c r="G22" s="3">
        <f>PrCloudDet!G18</f>
        <v>18362.255999999998</v>
      </c>
      <c r="H22" s="3">
        <f>PrCloudDet!H18</f>
        <v>27170.879999999997</v>
      </c>
      <c r="I22" s="3">
        <f>PrCloudDet!I18</f>
        <v>21254.639999999999</v>
      </c>
    </row>
    <row r="28" spans="1:9" x14ac:dyDescent="0.25">
      <c r="B28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25"/>
  <sheetViews>
    <sheetView tabSelected="1" topLeftCell="A15" workbookViewId="0">
      <selection activeCell="C23" sqref="C23"/>
    </sheetView>
  </sheetViews>
  <sheetFormatPr defaultRowHeight="15" x14ac:dyDescent="0.25"/>
  <cols>
    <col min="1" max="1" width="9.140625" style="1"/>
    <col min="2" max="2" width="43.28515625" style="1" customWidth="1"/>
    <col min="3" max="3" width="11.5703125" style="1" bestFit="1" customWidth="1"/>
    <col min="4" max="4" width="13.28515625" style="1" customWidth="1"/>
    <col min="5" max="16384" width="9.140625" style="1"/>
  </cols>
  <sheetData>
    <row r="1" spans="2:4" ht="30" x14ac:dyDescent="0.25">
      <c r="B1" s="1" t="s">
        <v>27</v>
      </c>
      <c r="C1" s="1" t="s">
        <v>11</v>
      </c>
      <c r="D1" s="1" t="s">
        <v>81</v>
      </c>
    </row>
    <row r="2" spans="2:4" ht="45" x14ac:dyDescent="0.25">
      <c r="B2" s="1" t="s">
        <v>43</v>
      </c>
      <c r="C2" s="1">
        <v>1559.99</v>
      </c>
      <c r="D2" s="1">
        <v>115</v>
      </c>
    </row>
    <row r="3" spans="2:4" ht="45" x14ac:dyDescent="0.25">
      <c r="B3" s="1" t="s">
        <v>50</v>
      </c>
      <c r="C3" s="1">
        <v>989.99</v>
      </c>
      <c r="D3" s="1">
        <v>90</v>
      </c>
    </row>
    <row r="4" spans="2:4" ht="45" x14ac:dyDescent="0.25">
      <c r="B4" s="21" t="s">
        <v>45</v>
      </c>
      <c r="C4" s="21">
        <v>1719.99</v>
      </c>
      <c r="D4" s="21">
        <v>120</v>
      </c>
    </row>
    <row r="5" spans="2:4" ht="45" x14ac:dyDescent="0.25">
      <c r="B5" s="21" t="s">
        <v>46</v>
      </c>
      <c r="C5" s="21">
        <v>1769.99</v>
      </c>
      <c r="D5" s="21">
        <v>115</v>
      </c>
    </row>
    <row r="6" spans="2:4" ht="45" x14ac:dyDescent="0.25">
      <c r="B6" s="21" t="s">
        <v>47</v>
      </c>
      <c r="C6" s="21">
        <v>2149.9899999999998</v>
      </c>
      <c r="D6" s="21">
        <v>135</v>
      </c>
    </row>
    <row r="7" spans="2:4" ht="30" x14ac:dyDescent="0.25">
      <c r="B7" s="21" t="s">
        <v>58</v>
      </c>
      <c r="C7" s="21">
        <v>659.99</v>
      </c>
      <c r="D7" s="21">
        <v>25</v>
      </c>
    </row>
    <row r="8" spans="2:4" ht="45" x14ac:dyDescent="0.25">
      <c r="B8" s="21" t="s">
        <v>59</v>
      </c>
      <c r="C8" s="21">
        <v>91.99</v>
      </c>
      <c r="D8" s="21">
        <v>5</v>
      </c>
    </row>
    <row r="9" spans="2:4" ht="45" x14ac:dyDescent="0.25">
      <c r="B9" s="21" t="s">
        <v>63</v>
      </c>
      <c r="C9" s="21">
        <v>365.99</v>
      </c>
      <c r="D9" s="21">
        <v>20</v>
      </c>
    </row>
    <row r="10" spans="2:4" ht="45" x14ac:dyDescent="0.25">
      <c r="B10" s="21" t="s">
        <v>64</v>
      </c>
      <c r="C10" s="21">
        <v>214.99</v>
      </c>
      <c r="D10" s="21">
        <v>5</v>
      </c>
    </row>
    <row r="11" spans="2:4" ht="30" x14ac:dyDescent="0.25">
      <c r="B11" s="21" t="s">
        <v>96</v>
      </c>
      <c r="C11" s="21">
        <v>96.84</v>
      </c>
      <c r="D11" s="21">
        <v>10</v>
      </c>
    </row>
    <row r="12" spans="2:4" x14ac:dyDescent="0.25">
      <c r="B12" s="1" t="s">
        <v>39</v>
      </c>
      <c r="C12" s="1">
        <f>PrCloudQty!B10</f>
        <v>526450</v>
      </c>
      <c r="D12" s="1">
        <v>0</v>
      </c>
    </row>
    <row r="13" spans="2:4" ht="30" x14ac:dyDescent="0.25">
      <c r="B13" s="1" t="s">
        <v>69</v>
      </c>
      <c r="C13" s="1">
        <v>259.99</v>
      </c>
      <c r="D13" s="1">
        <v>25</v>
      </c>
    </row>
    <row r="14" spans="2:4" ht="45" x14ac:dyDescent="0.25">
      <c r="B14" s="1" t="s">
        <v>70</v>
      </c>
      <c r="C14" s="1">
        <v>149.99</v>
      </c>
      <c r="D14" s="1">
        <v>25</v>
      </c>
    </row>
    <row r="15" spans="2:4" ht="45" x14ac:dyDescent="0.25">
      <c r="B15" s="1" t="s">
        <v>71</v>
      </c>
      <c r="C15" s="1">
        <v>84.99</v>
      </c>
      <c r="D15" s="1">
        <v>25</v>
      </c>
    </row>
    <row r="16" spans="2:4" ht="45" x14ac:dyDescent="0.25">
      <c r="B16" s="21" t="s">
        <v>72</v>
      </c>
      <c r="C16" s="21">
        <v>602.73</v>
      </c>
      <c r="D16" s="21">
        <v>25</v>
      </c>
    </row>
    <row r="17" spans="2:5" ht="45" x14ac:dyDescent="0.25">
      <c r="B17" s="21" t="s">
        <v>73</v>
      </c>
      <c r="C17" s="21">
        <v>219.99</v>
      </c>
      <c r="D17" s="21">
        <v>35</v>
      </c>
    </row>
    <row r="18" spans="2:5" ht="60" x14ac:dyDescent="0.25">
      <c r="B18" s="9" t="s">
        <v>74</v>
      </c>
      <c r="C18" s="9">
        <v>0</v>
      </c>
      <c r="D18" s="9">
        <v>0</v>
      </c>
      <c r="E18" s="1" t="s">
        <v>88</v>
      </c>
    </row>
    <row r="19" spans="2:5" ht="30" x14ac:dyDescent="0.25">
      <c r="B19" s="21" t="s">
        <v>85</v>
      </c>
      <c r="C19" s="21">
        <v>90.99</v>
      </c>
      <c r="D19" s="21">
        <v>5</v>
      </c>
    </row>
    <row r="20" spans="2:5" ht="30" x14ac:dyDescent="0.25">
      <c r="B20" s="9" t="s">
        <v>78</v>
      </c>
      <c r="C20" s="9">
        <v>1654.73</v>
      </c>
      <c r="D20" s="9">
        <v>40</v>
      </c>
    </row>
    <row r="21" spans="2:5" ht="30" x14ac:dyDescent="0.25">
      <c r="B21" s="21" t="s">
        <v>80</v>
      </c>
      <c r="C21" s="21">
        <v>30.29</v>
      </c>
      <c r="D21" s="21">
        <v>25</v>
      </c>
    </row>
    <row r="22" spans="2:5" ht="30" x14ac:dyDescent="0.25">
      <c r="B22" s="1" t="s">
        <v>82</v>
      </c>
      <c r="C22" s="1">
        <v>1895</v>
      </c>
      <c r="D22" s="1">
        <v>225</v>
      </c>
    </row>
    <row r="23" spans="2:5" ht="45" x14ac:dyDescent="0.25">
      <c r="B23" s="9" t="s">
        <v>87</v>
      </c>
      <c r="C23" s="9">
        <v>2413.9899999999998</v>
      </c>
      <c r="D23" s="9">
        <v>25</v>
      </c>
    </row>
    <row r="24" spans="2:5" x14ac:dyDescent="0.25">
      <c r="B24" s="3" t="s">
        <v>105</v>
      </c>
      <c r="C24" s="1">
        <f>0.153</f>
        <v>0.153</v>
      </c>
    </row>
    <row r="25" spans="2:5" x14ac:dyDescent="0.25">
      <c r="B25" s="3" t="s">
        <v>41</v>
      </c>
      <c r="C25" s="1">
        <f>0.153</f>
        <v>0.153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R44"/>
  <sheetViews>
    <sheetView topLeftCell="A9" zoomScale="60" zoomScaleNormal="60" workbookViewId="0">
      <selection activeCell="A29" sqref="A29:XFD29"/>
    </sheetView>
  </sheetViews>
  <sheetFormatPr defaultRowHeight="15" x14ac:dyDescent="0.25"/>
  <cols>
    <col min="1" max="1" width="9.140625" style="2"/>
    <col min="2" max="2" width="18" style="2" customWidth="1"/>
    <col min="3" max="3" width="29.7109375" style="2" customWidth="1"/>
    <col min="4" max="4" width="14.85546875" style="2" customWidth="1"/>
    <col min="5" max="5" width="27.28515625" style="2" customWidth="1"/>
    <col min="6" max="6" width="13" style="2" customWidth="1"/>
    <col min="7" max="7" width="13.7109375" style="2" customWidth="1"/>
    <col min="8" max="8" width="15.42578125" style="2" customWidth="1"/>
    <col min="9" max="9" width="16.28515625" style="2" customWidth="1"/>
    <col min="10" max="11" width="18.140625" style="2" customWidth="1"/>
    <col min="12" max="12" width="10.5703125" style="2" bestFit="1" customWidth="1"/>
    <col min="13" max="13" width="30.140625" style="2" bestFit="1" customWidth="1"/>
    <col min="14" max="14" width="9.5703125" style="2" bestFit="1" customWidth="1"/>
    <col min="15" max="15" width="11.5703125" style="2" bestFit="1" customWidth="1"/>
    <col min="16" max="16" width="24.42578125" style="2" customWidth="1"/>
    <col min="17" max="17" width="13.42578125" style="2" bestFit="1" customWidth="1"/>
    <col min="18" max="16384" width="9.140625" style="2"/>
  </cols>
  <sheetData>
    <row r="1" spans="2:17" ht="45" x14ac:dyDescent="0.25">
      <c r="B1" s="2" t="s">
        <v>28</v>
      </c>
    </row>
    <row r="3" spans="2:17" ht="30" x14ac:dyDescent="0.25">
      <c r="B3" s="2" t="s">
        <v>27</v>
      </c>
      <c r="C3" s="2" t="s">
        <v>33</v>
      </c>
      <c r="D3" s="2" t="s">
        <v>30</v>
      </c>
      <c r="E3" s="2" t="s">
        <v>31</v>
      </c>
      <c r="F3" s="2" t="s">
        <v>32</v>
      </c>
      <c r="G3" s="2" t="s">
        <v>89</v>
      </c>
    </row>
    <row r="4" spans="2:17" ht="30" x14ac:dyDescent="0.25">
      <c r="B4" s="2" t="s">
        <v>40</v>
      </c>
      <c r="C4" s="2" t="str">
        <f>PrCloudQty!B2</f>
        <v>NORCO RPC-170 Black 1U Rackmount Server Chassis</v>
      </c>
      <c r="D4" s="2">
        <v>1</v>
      </c>
      <c r="E4" s="2">
        <f>VLOOKUP(TEXT(C4,"text"),Prices!$B$2:$C$300,2,FALSE)</f>
        <v>96.84</v>
      </c>
      <c r="F4" s="2">
        <f t="shared" ref="F4:F9" si="0">_xlfn.IFNA(D4*E4,0)</f>
        <v>96.84</v>
      </c>
      <c r="G4" s="2">
        <f>_xlfn.IFNA(VLOOKUP(TEXT(C4,"text"),Prices!$B$2:$D$300,3,FALSE)*D4,0)</f>
        <v>10</v>
      </c>
    </row>
    <row r="5" spans="2:17" ht="60" x14ac:dyDescent="0.25">
      <c r="B5" s="2" t="s">
        <v>26</v>
      </c>
      <c r="C5" s="2" t="str">
        <f>PrCloudQty!B3</f>
        <v>Intel Xeon E5-2640 V4 2.4 GHz 25MB L3 Cache LGA 2011 90W BX80660E52640V4 Server Processor</v>
      </c>
      <c r="D5" s="2">
        <f>PrCloudQty!B4</f>
        <v>2</v>
      </c>
      <c r="E5" s="2">
        <f>VLOOKUP(TEXT(C5,"text"),Prices!$B$2:$C$300,2,FALSE)</f>
        <v>989.99</v>
      </c>
      <c r="F5" s="3">
        <f t="shared" si="0"/>
        <v>1979.98</v>
      </c>
      <c r="G5" s="3">
        <f>_xlfn.IFNA(VLOOKUP(TEXT(C5,"text"),Prices!$B$2:$D$300,3,FALSE)*D5,0)</f>
        <v>180</v>
      </c>
    </row>
    <row r="6" spans="2:17" ht="60" x14ac:dyDescent="0.25">
      <c r="B6" s="2" t="s">
        <v>29</v>
      </c>
      <c r="C6" s="2" t="str">
        <f>PrCloudQty!B5</f>
        <v>Kingston 16GB 288-Pin DDR4 SDRAM ECC Registered DDR4 2133 (PC4 17000) Server Memory Model KVR21R15D4/16</v>
      </c>
      <c r="D6" s="2">
        <f>PrCloudQty!B6</f>
        <v>10</v>
      </c>
      <c r="E6" s="2">
        <f>VLOOKUP(TEXT(C6,"text"),Prices!$B$2:$C$300,2,FALSE)</f>
        <v>91.99</v>
      </c>
      <c r="F6" s="3">
        <f t="shared" si="0"/>
        <v>919.9</v>
      </c>
      <c r="G6" s="3">
        <f>_xlfn.IFNA(VLOOKUP(TEXT(C6,"text"),Prices!$B$2:$D$300,3,FALSE)*D6,0)</f>
        <v>50</v>
      </c>
    </row>
    <row r="7" spans="2:17" ht="45" x14ac:dyDescent="0.25">
      <c r="B7" s="2" t="s">
        <v>37</v>
      </c>
      <c r="C7" s="2" t="str">
        <f>PrCloudQty!B7</f>
        <v>GIGABYTE MD80-TM0 E-ATX / SSI EEB Server Motherboard Dual LGA 2011-3 Intel C612</v>
      </c>
      <c r="D7" s="2">
        <v>1</v>
      </c>
      <c r="E7" s="2">
        <f>VLOOKUP(TEXT(C7,"text"),Prices!$B$2:$C$300,2,FALSE)</f>
        <v>659.99</v>
      </c>
      <c r="F7" s="3">
        <f t="shared" si="0"/>
        <v>659.99</v>
      </c>
      <c r="G7" s="3">
        <f>_xlfn.IFNA(VLOOKUP(TEXT(C7,"text"),Prices!$B$2:$D$300,3,FALSE)*D7,0)</f>
        <v>25</v>
      </c>
    </row>
    <row r="8" spans="2:17" ht="60" x14ac:dyDescent="0.25">
      <c r="B8" s="2" t="s">
        <v>34</v>
      </c>
      <c r="C8" s="2" t="str">
        <f>PrCloudQty!B8</f>
        <v>Kingston SSD Now mS200 mSATA 30GB SATA III Internal Solid State Drive (SSD) SMS200S3/30G</v>
      </c>
      <c r="D8" s="2">
        <f>PrCloudQty!B9</f>
        <v>1</v>
      </c>
      <c r="E8" s="2">
        <f>VLOOKUP(TEXT(C8,"text"),Prices!$B$2:$C$300,2,FALSE)</f>
        <v>30.29</v>
      </c>
      <c r="F8" s="3">
        <f t="shared" si="0"/>
        <v>30.29</v>
      </c>
      <c r="G8" s="3">
        <f>_xlfn.IFNA(VLOOKUP(TEXT(C8,"text"),Prices!$B$2:$D$300,3,FALSE)*D8,0)</f>
        <v>25</v>
      </c>
    </row>
    <row r="9" spans="2:17" x14ac:dyDescent="0.25">
      <c r="B9" s="2" t="s">
        <v>35</v>
      </c>
      <c r="E9" s="2">
        <f>_xlfn.IFNA(VLOOKUP(TEXT(C9,"text"),Prices!$B$2:$C$300,2,FALSE),0)</f>
        <v>0</v>
      </c>
      <c r="F9" s="3">
        <f t="shared" si="0"/>
        <v>0</v>
      </c>
      <c r="G9" s="3">
        <f>_xlfn.IFNA(VLOOKUP(TEXT(C9,"text"),Prices!$B$2:$D$300,3,FALSE)*D9,0)</f>
        <v>0</v>
      </c>
    </row>
    <row r="10" spans="2:17" s="7" customFormat="1" x14ac:dyDescent="0.25"/>
    <row r="11" spans="2:17" s="7" customFormat="1" x14ac:dyDescent="0.25">
      <c r="F11" s="7">
        <f>SUM(F4:F10)</f>
        <v>3687</v>
      </c>
      <c r="G11" s="8">
        <f>SUM(G4:G10)</f>
        <v>290</v>
      </c>
    </row>
    <row r="12" spans="2:17" s="8" customFormat="1" x14ac:dyDescent="0.25"/>
    <row r="13" spans="2:17" s="8" customFormat="1" x14ac:dyDescent="0.25"/>
    <row r="14" spans="2:17" s="8" customFormat="1" ht="33.75" customHeight="1" x14ac:dyDescent="0.25">
      <c r="E14" s="19" t="str">
        <f>PrCloudQty!B19</f>
        <v>NETGEAR ProSAFE XS728T 28-Port 10-Gigabit Ethernet Smart Managed Switch (XS728T) - Lifetime Warranty</v>
      </c>
      <c r="F14" s="19"/>
      <c r="G14" s="8" t="s">
        <v>105</v>
      </c>
      <c r="H14" s="10"/>
      <c r="I14" s="8" t="s">
        <v>39</v>
      </c>
      <c r="J14" s="8" t="s">
        <v>105</v>
      </c>
      <c r="K14" s="19" t="str">
        <f>PrCloudQty!B15</f>
        <v>APC AR3300 42U NetShelter SX 600mm Wide x 1200mm Deep Enclosure</v>
      </c>
      <c r="L14" s="19"/>
      <c r="M14" s="8" t="s">
        <v>105</v>
      </c>
    </row>
    <row r="15" spans="2:17" s="8" customFormat="1" ht="45" x14ac:dyDescent="0.25">
      <c r="B15" s="8" t="s">
        <v>97</v>
      </c>
      <c r="C15" s="8" t="s">
        <v>98</v>
      </c>
      <c r="D15" s="8" t="s">
        <v>99</v>
      </c>
      <c r="E15" s="8" t="s">
        <v>102</v>
      </c>
      <c r="F15" s="8" t="s">
        <v>100</v>
      </c>
      <c r="G15" s="8" t="s">
        <v>103</v>
      </c>
      <c r="H15" s="10" t="s">
        <v>122</v>
      </c>
      <c r="I15" s="8" t="s">
        <v>101</v>
      </c>
      <c r="J15" s="8" t="s">
        <v>104</v>
      </c>
      <c r="K15" s="8" t="s">
        <v>79</v>
      </c>
      <c r="L15" s="8" t="s">
        <v>106</v>
      </c>
      <c r="M15" s="8" t="s">
        <v>107</v>
      </c>
      <c r="N15" s="8" t="s">
        <v>108</v>
      </c>
      <c r="O15" s="8" t="s">
        <v>109</v>
      </c>
      <c r="P15" s="8" t="s">
        <v>110</v>
      </c>
    </row>
    <row r="16" spans="2:17" s="8" customFormat="1" x14ac:dyDescent="0.25">
      <c r="B16" s="8">
        <v>1</v>
      </c>
      <c r="C16" s="8">
        <f>_xlfn.CEILING.MATH(_xlfn.CEILING.MATH(B16/Sheet1!$M$3)/PrCloudDet!$B$12)</f>
        <v>1</v>
      </c>
      <c r="D16" s="8">
        <f>$F$11*C16</f>
        <v>3687</v>
      </c>
      <c r="E16" s="12">
        <f t="shared" ref="E16:E22" si="1">_xlfn.CEILING.MATH((C16+(IF(_xlfn.CEILING.MATH(C16/28)&lt;=1,_xlfn.CEILING.MATH(C16/28),((_xlfn.CEILING.MATH(C16/28))*(_xlfn.CEILING.MATH(C16/28)-1))/2)))/28)</f>
        <v>1</v>
      </c>
      <c r="F16" s="12">
        <f>_xlfn.IFNA(VLOOKUP($E$14,Prices!$B$2:$D$50,2,FALSE),0)*E16</f>
        <v>2413.9899999999998</v>
      </c>
      <c r="G16" s="8">
        <f>(((_xlfn.IFNA(VLOOKUP($E$14,Prices!$B$2:$D$50,3,FALSE),0)*E16)*24*1826)/1000)*(_xlfn.IFNA(VLOOKUP($G$14,Prices!$B$2:$D$50,2,FALSE),0))*2</f>
        <v>335.25359999999995</v>
      </c>
      <c r="H16" s="10">
        <f>_xlfn.CEILING.MATH(C16/1000)</f>
        <v>1</v>
      </c>
      <c r="I16" s="8">
        <f>_xlfn.IFNA(VLOOKUP($I$14,Prices!$B$2:$D$50,2,FALSE),0)*H16</f>
        <v>526450</v>
      </c>
      <c r="J16" s="8">
        <f>(($G$11*24*1826)/1000)*(_xlfn.IFNA(VLOOKUP($J$14,Prices!$B$2:$D$50,2,FALSE),0))*C16*2</f>
        <v>3888.9417599999997</v>
      </c>
      <c r="K16" s="8">
        <f t="shared" ref="K16:K22" si="2">_xlfn.CEILING.MATH(C16/42)</f>
        <v>1</v>
      </c>
      <c r="L16" s="8">
        <f>_xlfn.IFNA(VLOOKUP($K$14,Prices!$B$2:$D$50,2,FALSE),0)*K16</f>
        <v>1654.73</v>
      </c>
      <c r="M16" s="8">
        <f>(((_xlfn.IFNA(VLOOKUP($K$14,Prices!$B$2:$D$50,3,FALSE),0)*K16)*24*1826)/1000)*(_xlfn.IFNA(VLOOKUP($M$14,Prices!$B$2:$D$50,2,FALSE),0))*2</f>
        <v>536.40575999999999</v>
      </c>
      <c r="N16" s="8">
        <f t="shared" ref="N16:N22" si="3">D16+F16+G16+I16+J16+L16+M16</f>
        <v>538966.32111999998</v>
      </c>
      <c r="O16" s="8">
        <f>N16/1826/24</f>
        <v>12.298428284045272</v>
      </c>
      <c r="P16" s="8">
        <f>O16/(C16*PrCloudDet!$B$11)</f>
        <v>1.6013578494850616E-2</v>
      </c>
      <c r="Q16" s="8">
        <f>O16/(Sheet1!$M$3*m4.10xlarge!C36)</f>
        <v>1.6013578494850616E-2</v>
      </c>
    </row>
    <row r="17" spans="2:18" s="8" customFormat="1" x14ac:dyDescent="0.25">
      <c r="B17" s="8">
        <v>10</v>
      </c>
      <c r="C17" s="14">
        <f>_xlfn.CEILING.MATH(_xlfn.CEILING.MATH(B17/Sheet1!$M$3)/PrCloudDet!$B$12)</f>
        <v>1</v>
      </c>
      <c r="D17" s="8">
        <f t="shared" ref="D17:D22" si="4">$F$11*C17</f>
        <v>3687</v>
      </c>
      <c r="E17" s="12">
        <f t="shared" si="1"/>
        <v>1</v>
      </c>
      <c r="F17" s="12">
        <f>_xlfn.IFNA(VLOOKUP($E$14,Prices!$B$2:$D$50,2,FALSE),0)*E17</f>
        <v>2413.9899999999998</v>
      </c>
      <c r="G17" s="10">
        <f>(((_xlfn.IFNA(VLOOKUP($E$14,Prices!$B$2:$D$50,3,FALSE),0)*E17)*24*1826)/1000)*(_xlfn.IFNA(VLOOKUP($G$14,Prices!$B$2:$D$50,2,FALSE),0))*2</f>
        <v>335.25359999999995</v>
      </c>
      <c r="H17" s="10">
        <f t="shared" ref="H17:H22" si="5">_xlfn.CEILING.MATH(C17/1000)</f>
        <v>1</v>
      </c>
      <c r="I17" s="10">
        <f>_xlfn.IFNA(VLOOKUP($I$14,Prices!$B$2:$D$50,2,FALSE),0)*H17</f>
        <v>526450</v>
      </c>
      <c r="J17" s="8">
        <f>(($G$11*24*1826)/1000)*(_xlfn.IFNA(VLOOKUP($J$14,Prices!$B$2:$D$50,2,FALSE),0))*C17*2</f>
        <v>3888.9417599999997</v>
      </c>
      <c r="K17" s="8">
        <f t="shared" si="2"/>
        <v>1</v>
      </c>
      <c r="L17" s="8">
        <f>_xlfn.IFNA(VLOOKUP($K$14,Prices!$B$2:$D$50,2,FALSE),0)*K17</f>
        <v>1654.73</v>
      </c>
      <c r="M17" s="10">
        <f>(((_xlfn.IFNA(VLOOKUP($K$14,Prices!$B$2:$D$50,3,FALSE),0)*K17)*24*1826)/1000)*(_xlfn.IFNA(VLOOKUP($M$14,Prices!$B$2:$D$50,2,FALSE),0))*2</f>
        <v>536.40575999999999</v>
      </c>
      <c r="N17" s="8">
        <f t="shared" si="3"/>
        <v>538966.32111999998</v>
      </c>
      <c r="O17" s="8">
        <f t="shared" ref="O17:O22" si="6">N17/1826/24</f>
        <v>12.298428284045272</v>
      </c>
      <c r="P17" s="8">
        <f>O17/(C17*PrCloudDet!$B$11)</f>
        <v>1.6013578494850616E-2</v>
      </c>
      <c r="Q17" s="18">
        <f>O17/(Sheet1!$M$3*m4.10xlarge!C37)</f>
        <v>1.6013578494850616E-2</v>
      </c>
    </row>
    <row r="18" spans="2:18" s="8" customFormat="1" x14ac:dyDescent="0.25">
      <c r="B18" s="8">
        <v>100</v>
      </c>
      <c r="C18" s="14">
        <f>_xlfn.CEILING.MATH(_xlfn.CEILING.MATH(B18/Sheet1!$M$3)/PrCloudDet!$B$12)</f>
        <v>1</v>
      </c>
      <c r="D18" s="8">
        <f t="shared" si="4"/>
        <v>3687</v>
      </c>
      <c r="E18" s="12">
        <f t="shared" si="1"/>
        <v>1</v>
      </c>
      <c r="F18" s="12">
        <f>_xlfn.IFNA(VLOOKUP($E$14,Prices!$B$2:$D$50,2,FALSE),0)*E18</f>
        <v>2413.9899999999998</v>
      </c>
      <c r="G18" s="10">
        <f>(((_xlfn.IFNA(VLOOKUP($E$14,Prices!$B$2:$D$50,3,FALSE),0)*E18)*24*1826)/1000)*(_xlfn.IFNA(VLOOKUP($G$14,Prices!$B$2:$D$50,2,FALSE),0))*2</f>
        <v>335.25359999999995</v>
      </c>
      <c r="H18" s="10">
        <f t="shared" si="5"/>
        <v>1</v>
      </c>
      <c r="I18" s="10">
        <f>_xlfn.IFNA(VLOOKUP($I$14,Prices!$B$2:$D$50,2,FALSE),0)*H18</f>
        <v>526450</v>
      </c>
      <c r="J18" s="8">
        <f>(($G$11*24*1826)/1000)*(_xlfn.IFNA(VLOOKUP($J$14,Prices!$B$2:$D$50,2,FALSE),0))*C18*2</f>
        <v>3888.9417599999997</v>
      </c>
      <c r="K18" s="8">
        <f t="shared" si="2"/>
        <v>1</v>
      </c>
      <c r="L18" s="8">
        <f>_xlfn.IFNA(VLOOKUP($K$14,Prices!$B$2:$D$50,2,FALSE),0)*K18</f>
        <v>1654.73</v>
      </c>
      <c r="M18" s="10">
        <f>(((_xlfn.IFNA(VLOOKUP($K$14,Prices!$B$2:$D$50,3,FALSE),0)*K18)*24*1826)/1000)*(_xlfn.IFNA(VLOOKUP($M$14,Prices!$B$2:$D$50,2,FALSE),0))*2</f>
        <v>536.40575999999999</v>
      </c>
      <c r="N18" s="8">
        <f t="shared" si="3"/>
        <v>538966.32111999998</v>
      </c>
      <c r="O18" s="8">
        <f t="shared" si="6"/>
        <v>12.298428284045272</v>
      </c>
      <c r="P18" s="8">
        <f>O18/(C18*PrCloudDet!$B$11)</f>
        <v>1.6013578494850616E-2</v>
      </c>
      <c r="Q18" s="18">
        <f>O18/(Sheet1!$M$3*m4.10xlarge!C38)</f>
        <v>1.6013578494850616E-2</v>
      </c>
    </row>
    <row r="19" spans="2:18" s="8" customFormat="1" x14ac:dyDescent="0.25">
      <c r="B19" s="8">
        <v>1000</v>
      </c>
      <c r="C19" s="14">
        <f>_xlfn.CEILING.MATH(_xlfn.CEILING.MATH(B19/Sheet1!$M$3)/PrCloudDet!$B$12)</f>
        <v>2</v>
      </c>
      <c r="D19" s="8">
        <f t="shared" si="4"/>
        <v>7374</v>
      </c>
      <c r="E19" s="12">
        <f t="shared" si="1"/>
        <v>1</v>
      </c>
      <c r="F19" s="12">
        <f>_xlfn.IFNA(VLOOKUP($E$14,Prices!$B$2:$D$50,2,FALSE),0)*E19</f>
        <v>2413.9899999999998</v>
      </c>
      <c r="G19" s="10">
        <f>(((_xlfn.IFNA(VLOOKUP($E$14,Prices!$B$2:$D$50,3,FALSE),0)*E19)*24*1826)/1000)*(_xlfn.IFNA(VLOOKUP($G$14,Prices!$B$2:$D$50,2,FALSE),0))*2</f>
        <v>335.25359999999995</v>
      </c>
      <c r="H19" s="10">
        <f t="shared" si="5"/>
        <v>1</v>
      </c>
      <c r="I19" s="10">
        <f>_xlfn.IFNA(VLOOKUP($I$14,Prices!$B$2:$D$50,2,FALSE),0)*H19</f>
        <v>526450</v>
      </c>
      <c r="J19" s="8">
        <f>(($G$11*24*1826)/1000)*(_xlfn.IFNA(VLOOKUP($J$14,Prices!$B$2:$D$50,2,FALSE),0))*C19*2</f>
        <v>7777.8835199999994</v>
      </c>
      <c r="K19" s="8">
        <f t="shared" si="2"/>
        <v>1</v>
      </c>
      <c r="L19" s="8">
        <f>_xlfn.IFNA(VLOOKUP($K$14,Prices!$B$2:$D$50,2,FALSE),0)*K19</f>
        <v>1654.73</v>
      </c>
      <c r="M19" s="10">
        <f>(((_xlfn.IFNA(VLOOKUP($K$14,Prices!$B$2:$D$50,3,FALSE),0)*K19)*24*1826)/1000)*(_xlfn.IFNA(VLOOKUP($M$14,Prices!$B$2:$D$50,2,FALSE),0))*2</f>
        <v>536.40575999999999</v>
      </c>
      <c r="N19" s="8">
        <f t="shared" si="3"/>
        <v>546542.26288000005</v>
      </c>
      <c r="O19" s="8">
        <f t="shared" si="6"/>
        <v>12.471300266520629</v>
      </c>
      <c r="P19" s="8">
        <f>O19/(C19*PrCloudDet!$B$11)</f>
        <v>8.1193361110160345E-3</v>
      </c>
      <c r="Q19" s="18">
        <f>O19/(Sheet1!$M$3*m4.10xlarge!C39)</f>
        <v>8.1193361110160345E-3</v>
      </c>
    </row>
    <row r="20" spans="2:18" s="8" customFormat="1" x14ac:dyDescent="0.25">
      <c r="B20" s="8">
        <v>10000</v>
      </c>
      <c r="C20" s="14">
        <f>_xlfn.CEILING.MATH(_xlfn.CEILING.MATH(B20/Sheet1!$M$3)/PrCloudDet!$B$12)</f>
        <v>14</v>
      </c>
      <c r="D20" s="8">
        <f t="shared" si="4"/>
        <v>51618</v>
      </c>
      <c r="E20" s="12">
        <f t="shared" si="1"/>
        <v>1</v>
      </c>
      <c r="F20" s="12">
        <f>_xlfn.IFNA(VLOOKUP($E$14,Prices!$B$2:$D$50,2,FALSE),0)*E20</f>
        <v>2413.9899999999998</v>
      </c>
      <c r="G20" s="10">
        <f>(((_xlfn.IFNA(VLOOKUP($E$14,Prices!$B$2:$D$50,3,FALSE),0)*E20)*24*1826)/1000)*(_xlfn.IFNA(VLOOKUP($G$14,Prices!$B$2:$D$50,2,FALSE),0))*2</f>
        <v>335.25359999999995</v>
      </c>
      <c r="H20" s="10">
        <f t="shared" si="5"/>
        <v>1</v>
      </c>
      <c r="I20" s="10">
        <f>_xlfn.IFNA(VLOOKUP($I$14,Prices!$B$2:$D$50,2,FALSE),0)*H20</f>
        <v>526450</v>
      </c>
      <c r="J20" s="8">
        <f>(($G$11*24*1826)/1000)*(_xlfn.IFNA(VLOOKUP($J$14,Prices!$B$2:$D$50,2,FALSE),0))*C20*2</f>
        <v>54445.184639999992</v>
      </c>
      <c r="K20" s="8">
        <f t="shared" si="2"/>
        <v>1</v>
      </c>
      <c r="L20" s="8">
        <f>_xlfn.IFNA(VLOOKUP($K$14,Prices!$B$2:$D$50,2,FALSE),0)*K20</f>
        <v>1654.73</v>
      </c>
      <c r="M20" s="10">
        <f>(((_xlfn.IFNA(VLOOKUP($K$14,Prices!$B$2:$D$50,3,FALSE),0)*K20)*24*1826)/1000)*(_xlfn.IFNA(VLOOKUP($M$14,Prices!$B$2:$D$50,2,FALSE),0))*2</f>
        <v>536.40575999999999</v>
      </c>
      <c r="N20" s="8">
        <f t="shared" si="3"/>
        <v>637453.56400000001</v>
      </c>
      <c r="O20" s="8">
        <f t="shared" si="6"/>
        <v>14.545764056224899</v>
      </c>
      <c r="P20" s="8">
        <f>O20/(C20*PrCloudDet!$B$11)</f>
        <v>1.3528426391578217E-3</v>
      </c>
      <c r="Q20" s="18">
        <f>O20/(Sheet1!$M$3*m4.10xlarge!C40)</f>
        <v>1.3528426391578217E-3</v>
      </c>
    </row>
    <row r="21" spans="2:18" s="8" customFormat="1" x14ac:dyDescent="0.25">
      <c r="B21" s="8">
        <v>100000</v>
      </c>
      <c r="C21" s="14">
        <f>_xlfn.CEILING.MATH(_xlfn.CEILING.MATH(B21/Sheet1!$M$3)/PrCloudDet!$B$12)</f>
        <v>131</v>
      </c>
      <c r="D21" s="8">
        <f t="shared" si="4"/>
        <v>482997</v>
      </c>
      <c r="E21" s="12">
        <f t="shared" si="1"/>
        <v>6</v>
      </c>
      <c r="F21" s="12">
        <f>_xlfn.IFNA(VLOOKUP($E$14,Prices!$B$2:$D$50,2,FALSE),0)*E21</f>
        <v>14483.939999999999</v>
      </c>
      <c r="G21" s="10">
        <f>(((_xlfn.IFNA(VLOOKUP($E$14,Prices!$B$2:$D$50,3,FALSE),0)*E21)*24*1826)/1000)*(_xlfn.IFNA(VLOOKUP($G$14,Prices!$B$2:$D$50,2,FALSE),0))*2</f>
        <v>2011.5216</v>
      </c>
      <c r="H21" s="10">
        <f t="shared" si="5"/>
        <v>1</v>
      </c>
      <c r="I21" s="10">
        <f>_xlfn.IFNA(VLOOKUP($I$14,Prices!$B$2:$D$50,2,FALSE),0)*H21</f>
        <v>526450</v>
      </c>
      <c r="J21" s="8">
        <f>(($G$11*24*1826)/1000)*(_xlfn.IFNA(VLOOKUP($J$14,Prices!$B$2:$D$50,2,FALSE),0))*C21*2</f>
        <v>509451.37055999995</v>
      </c>
      <c r="K21" s="8">
        <f t="shared" si="2"/>
        <v>4</v>
      </c>
      <c r="L21" s="8">
        <f>_xlfn.IFNA(VLOOKUP($K$14,Prices!$B$2:$D$50,2,FALSE),0)*K21</f>
        <v>6618.92</v>
      </c>
      <c r="M21" s="10">
        <f>(((_xlfn.IFNA(VLOOKUP($K$14,Prices!$B$2:$D$50,3,FALSE),0)*K21)*24*1826)/1000)*(_xlfn.IFNA(VLOOKUP($M$14,Prices!$B$2:$D$50,2,FALSE),0))*2</f>
        <v>2145.6230399999999</v>
      </c>
      <c r="N21" s="8">
        <f t="shared" si="3"/>
        <v>1544158.3751999999</v>
      </c>
      <c r="O21" s="8">
        <f t="shared" si="6"/>
        <v>35.235450328587071</v>
      </c>
      <c r="P21" s="8">
        <f>O21/(C21*PrCloudDet!$B$11)</f>
        <v>3.5022513446830342E-4</v>
      </c>
      <c r="Q21" s="18">
        <f>O21/(Sheet1!$M$3*m4.10xlarge!C41)</f>
        <v>3.5022513446830342E-4</v>
      </c>
    </row>
    <row r="22" spans="2:18" s="8" customFormat="1" x14ac:dyDescent="0.25">
      <c r="B22" s="8">
        <v>1000000</v>
      </c>
      <c r="C22" s="14">
        <f>_xlfn.CEILING.MATH(_xlfn.CEILING.MATH(B22/Sheet1!$M$3)/PrCloudDet!$B$12)</f>
        <v>1303</v>
      </c>
      <c r="D22" s="8">
        <f t="shared" si="4"/>
        <v>4804161</v>
      </c>
      <c r="E22" s="12">
        <f t="shared" si="1"/>
        <v>86</v>
      </c>
      <c r="F22" s="12">
        <f>_xlfn.IFNA(VLOOKUP($E$14,Prices!$B$2:$D$50,2,FALSE),0)*E22</f>
        <v>207603.13999999998</v>
      </c>
      <c r="G22" s="10">
        <f>(((_xlfn.IFNA(VLOOKUP($E$14,Prices!$B$2:$D$50,3,FALSE),0)*E22)*24*1826)/1000)*(_xlfn.IFNA(VLOOKUP($G$14,Prices!$B$2:$D$50,2,FALSE),0))*2</f>
        <v>28831.809600000001</v>
      </c>
      <c r="H22" s="10">
        <f t="shared" si="5"/>
        <v>2</v>
      </c>
      <c r="I22" s="10">
        <f>_xlfn.IFNA(VLOOKUP($I$14,Prices!$B$2:$D$50,2,FALSE),0)*H22</f>
        <v>1052900</v>
      </c>
      <c r="J22" s="8">
        <f>(($G$11*24*1826)/1000)*(_xlfn.IFNA(VLOOKUP($J$14,Prices!$B$2:$D$50,2,FALSE),0))*C22*2</f>
        <v>5067291.1132799992</v>
      </c>
      <c r="K22" s="8">
        <f t="shared" si="2"/>
        <v>32</v>
      </c>
      <c r="L22" s="8">
        <f>_xlfn.IFNA(VLOOKUP($K$14,Prices!$B$2:$D$50,2,FALSE),0)*K22</f>
        <v>52951.360000000001</v>
      </c>
      <c r="M22" s="10">
        <f>(((_xlfn.IFNA(VLOOKUP($K$14,Prices!$B$2:$D$50,3,FALSE),0)*K22)*24*1826)/1000)*(_xlfn.IFNA(VLOOKUP($M$14,Prices!$B$2:$D$50,2,FALSE),0))*2</f>
        <v>17164.98432</v>
      </c>
      <c r="N22" s="8">
        <f t="shared" si="3"/>
        <v>11230903.407199997</v>
      </c>
      <c r="O22" s="8">
        <f t="shared" si="6"/>
        <v>256.27289629426792</v>
      </c>
      <c r="P22" s="8">
        <f>O22/(C22*PrCloudDet!$B$11)</f>
        <v>2.5609260709887033E-4</v>
      </c>
      <c r="Q22" s="18">
        <f>O22/(Sheet1!$M$3*m4.10xlarge!C42)</f>
        <v>2.5609260709887033E-4</v>
      </c>
    </row>
    <row r="23" spans="2:18" s="8" customFormat="1" x14ac:dyDescent="0.25">
      <c r="B23" s="8">
        <v>3840</v>
      </c>
      <c r="C23" s="18">
        <f>_xlfn.CEILING.MATH(_xlfn.CEILING.MATH(B23/Sheet1!$M$3)/PrCloudDet!$B$12)</f>
        <v>5</v>
      </c>
      <c r="D23" s="18">
        <f>$F$11*C23</f>
        <v>18435</v>
      </c>
      <c r="E23" s="18">
        <f>_xlfn.CEILING.MATH((C23+(IF(_xlfn.CEILING.MATH(C23/28)&lt;=1,_xlfn.CEILING.MATH(C23/28),((_xlfn.CEILING.MATH(C23/28))*(_xlfn.CEILING.MATH(C23/28)-1))/2)))/28)</f>
        <v>1</v>
      </c>
      <c r="F23" s="18">
        <f>_xlfn.IFNA(VLOOKUP($E$14,Prices!$B$2:$D$50,2,FALSE),0)*E23</f>
        <v>2413.9899999999998</v>
      </c>
      <c r="G23" s="18">
        <f>(((_xlfn.IFNA(VLOOKUP($E$14,Prices!$B$2:$D$50,3,FALSE),0)*E23)*24*1826)/1000)*(_xlfn.IFNA(VLOOKUP($G$14,Prices!$B$2:$D$50,2,FALSE),0))*2</f>
        <v>335.25359999999995</v>
      </c>
      <c r="H23" s="18">
        <f>_xlfn.CEILING.MATH(C23/1000)</f>
        <v>1</v>
      </c>
      <c r="I23" s="18">
        <f>_xlfn.IFNA(VLOOKUP($I$14,Prices!$B$2:$D$50,2,FALSE),0)*H23</f>
        <v>526450</v>
      </c>
      <c r="J23" s="18">
        <f>(($G$11*24*1826)/1000)*(_xlfn.IFNA(VLOOKUP($J$14,Prices!$B$2:$D$50,2,FALSE),0))*C23*2</f>
        <v>19444.7088</v>
      </c>
      <c r="K23" s="18">
        <f>_xlfn.CEILING.MATH(C23/42)</f>
        <v>1</v>
      </c>
      <c r="L23" s="18">
        <f>_xlfn.IFNA(VLOOKUP($K$14,Prices!$B$2:$D$50,2,FALSE),0)*K23</f>
        <v>1654.73</v>
      </c>
      <c r="M23" s="18">
        <f>(((_xlfn.IFNA(VLOOKUP($K$14,Prices!$B$2:$D$50,3,FALSE),0)*K23)*24*1826)/1000)*(_xlfn.IFNA(VLOOKUP($M$14,Prices!$B$2:$D$50,2,FALSE),0))*2</f>
        <v>536.40575999999999</v>
      </c>
      <c r="N23" s="18">
        <f>D23+F23+G23+I23+J23+L23+M23</f>
        <v>569270.08816000004</v>
      </c>
      <c r="O23" s="18">
        <f>N23/1826/24</f>
        <v>12.989916213946698</v>
      </c>
      <c r="P23" s="18">
        <f>O23/(C23*PrCloudDet!$B$11)</f>
        <v>3.3827906807152859E-3</v>
      </c>
      <c r="Q23" s="18">
        <f>O23/(Sheet1!$M$3*m4.10xlarge!C43)</f>
        <v>3.3827906807152859E-3</v>
      </c>
      <c r="R23" s="8">
        <v>3.1171875000000002E-3</v>
      </c>
    </row>
    <row r="24" spans="2:18" s="8" customFormat="1" x14ac:dyDescent="0.25">
      <c r="B24" s="8">
        <v>55675</v>
      </c>
      <c r="C24" s="18">
        <f>_xlfn.CEILING.MATH(_xlfn.CEILING.MATH(B24/Sheet1!$M$3)/PrCloudDet!$B$12)</f>
        <v>73</v>
      </c>
      <c r="D24" s="18">
        <f>$F$11*C24</f>
        <v>269151</v>
      </c>
      <c r="E24" s="18">
        <f>_xlfn.CEILING.MATH((C24+(IF(_xlfn.CEILING.MATH(C24/28)&lt;=1,_xlfn.CEILING.MATH(C24/28),((_xlfn.CEILING.MATH(C24/28))*(_xlfn.CEILING.MATH(C24/28)-1))/2)))/28)</f>
        <v>3</v>
      </c>
      <c r="F24" s="18">
        <f>_xlfn.IFNA(VLOOKUP($E$14,Prices!$B$2:$D$50,2,FALSE),0)*E24</f>
        <v>7241.9699999999993</v>
      </c>
      <c r="G24" s="18">
        <f>(((_xlfn.IFNA(VLOOKUP($E$14,Prices!$B$2:$D$50,3,FALSE),0)*E24)*24*1826)/1000)*(_xlfn.IFNA(VLOOKUP($G$14,Prices!$B$2:$D$50,2,FALSE),0))*2</f>
        <v>1005.7608</v>
      </c>
      <c r="H24" s="18">
        <f>_xlfn.CEILING.MATH(C24/1000)</f>
        <v>1</v>
      </c>
      <c r="I24" s="18">
        <f>_xlfn.IFNA(VLOOKUP($I$14,Prices!$B$2:$D$50,2,FALSE),0)*H24</f>
        <v>526450</v>
      </c>
      <c r="J24" s="18">
        <f>(($G$11*24*1826)/1000)*(_xlfn.IFNA(VLOOKUP($J$14,Prices!$B$2:$D$50,2,FALSE),0))*C24*2</f>
        <v>283892.74847999995</v>
      </c>
      <c r="K24" s="18">
        <f>_xlfn.CEILING.MATH(C24/42)</f>
        <v>2</v>
      </c>
      <c r="L24" s="18">
        <f>_xlfn.IFNA(VLOOKUP($K$14,Prices!$B$2:$D$50,2,FALSE),0)*K24</f>
        <v>3309.46</v>
      </c>
      <c r="M24" s="18">
        <f>(((_xlfn.IFNA(VLOOKUP($K$14,Prices!$B$2:$D$50,3,FALSE),0)*K24)*24*1826)/1000)*(_xlfn.IFNA(VLOOKUP($M$14,Prices!$B$2:$D$50,2,FALSE),0))*2</f>
        <v>1072.81152</v>
      </c>
      <c r="N24" s="18">
        <f>D24+F24+G24+I24+J24+L24+M24</f>
        <v>1092123.7508</v>
      </c>
      <c r="O24" s="18">
        <f>N24/1826/24</f>
        <v>24.920677044541804</v>
      </c>
      <c r="P24" s="18">
        <f>O24/(C24*PrCloudDet!$B$11)</f>
        <v>4.4450408541206129E-4</v>
      </c>
      <c r="Q24" s="18">
        <f>O24/(Sheet1!$M$3*m4.10xlarge!C44)</f>
        <v>4.4450408541206129E-4</v>
      </c>
    </row>
    <row r="25" spans="2:18" s="18" customFormat="1" x14ac:dyDescent="0.25"/>
    <row r="26" spans="2:18" s="18" customFormat="1" x14ac:dyDescent="0.25"/>
    <row r="27" spans="2:18" s="18" customFormat="1" x14ac:dyDescent="0.25"/>
    <row r="28" spans="2:18" s="18" customFormat="1" x14ac:dyDescent="0.25"/>
    <row r="29" spans="2:18" s="18" customFormat="1" x14ac:dyDescent="0.25"/>
    <row r="30" spans="2:18" s="18" customFormat="1" x14ac:dyDescent="0.25"/>
    <row r="31" spans="2:18" s="18" customFormat="1" x14ac:dyDescent="0.25"/>
    <row r="32" spans="2:18" s="18" customFormat="1" x14ac:dyDescent="0.25"/>
    <row r="33" spans="2:13" s="18" customFormat="1" x14ac:dyDescent="0.25"/>
    <row r="34" spans="2:13" s="18" customFormat="1" x14ac:dyDescent="0.25"/>
    <row r="35" spans="2:13" s="8" customFormat="1" ht="120" x14ac:dyDescent="0.25">
      <c r="B35" s="14" t="s">
        <v>97</v>
      </c>
      <c r="C35" s="8" t="s">
        <v>127</v>
      </c>
      <c r="D35" s="14" t="s">
        <v>128</v>
      </c>
      <c r="E35" s="14" t="s">
        <v>123</v>
      </c>
      <c r="F35" s="14" t="s">
        <v>124</v>
      </c>
      <c r="G35" s="14" t="s">
        <v>125</v>
      </c>
      <c r="H35" s="14" t="s">
        <v>104</v>
      </c>
      <c r="I35" s="14" t="s">
        <v>126</v>
      </c>
      <c r="J35" s="14" t="s">
        <v>108</v>
      </c>
      <c r="K35" s="14" t="s">
        <v>109</v>
      </c>
      <c r="L35" s="14" t="s">
        <v>110</v>
      </c>
    </row>
    <row r="36" spans="2:13" s="8" customFormat="1" x14ac:dyDescent="0.25">
      <c r="B36" s="8">
        <f t="shared" ref="B36:B44" si="7">B16</f>
        <v>1</v>
      </c>
      <c r="C36" s="8">
        <f>_xlfn.CEILING.MATH(B16/Sheet1!$M$3)</f>
        <v>1</v>
      </c>
      <c r="D36" s="8">
        <f t="shared" ref="D36:E44" si="8">C16</f>
        <v>1</v>
      </c>
      <c r="E36" s="15">
        <f t="shared" si="8"/>
        <v>3687</v>
      </c>
      <c r="F36" s="15">
        <f t="shared" ref="F36:F44" si="9">F16+G16</f>
        <v>2749.2435999999998</v>
      </c>
      <c r="G36" s="15">
        <f t="shared" ref="G36:G44" si="10">I16</f>
        <v>526450</v>
      </c>
      <c r="H36" s="15">
        <f t="shared" ref="H36:H44" si="11">J16</f>
        <v>3888.9417599999997</v>
      </c>
      <c r="I36" s="15">
        <f t="shared" ref="I36:I44" si="12">L16+M16</f>
        <v>2191.1357600000001</v>
      </c>
      <c r="J36" s="15">
        <f t="shared" ref="J36:J44" si="13">N16</f>
        <v>538966.32111999998</v>
      </c>
      <c r="K36" s="15">
        <f t="shared" ref="K36:K44" si="14">O16</f>
        <v>12.298428284045272</v>
      </c>
      <c r="L36" s="16">
        <f t="shared" ref="L36:L44" si="15">P16</f>
        <v>1.6013578494850616E-2</v>
      </c>
      <c r="M36" s="16">
        <f t="shared" ref="M36:M44" si="16">Q16</f>
        <v>1.6013578494850616E-2</v>
      </c>
    </row>
    <row r="37" spans="2:13" s="7" customFormat="1" x14ac:dyDescent="0.25">
      <c r="B37" s="14">
        <f t="shared" si="7"/>
        <v>10</v>
      </c>
      <c r="C37" s="14">
        <f>_xlfn.CEILING.MATH(B17/Sheet1!$M$3)</f>
        <v>1</v>
      </c>
      <c r="D37" s="14">
        <f t="shared" si="8"/>
        <v>1</v>
      </c>
      <c r="E37" s="15">
        <f t="shared" si="8"/>
        <v>3687</v>
      </c>
      <c r="F37" s="15">
        <f t="shared" si="9"/>
        <v>2749.2435999999998</v>
      </c>
      <c r="G37" s="15">
        <f t="shared" si="10"/>
        <v>526450</v>
      </c>
      <c r="H37" s="15">
        <f t="shared" si="11"/>
        <v>3888.9417599999997</v>
      </c>
      <c r="I37" s="15">
        <f t="shared" si="12"/>
        <v>2191.1357600000001</v>
      </c>
      <c r="J37" s="15">
        <f t="shared" si="13"/>
        <v>538966.32111999998</v>
      </c>
      <c r="K37" s="15">
        <f t="shared" si="14"/>
        <v>12.298428284045272</v>
      </c>
      <c r="L37" s="16">
        <f t="shared" si="15"/>
        <v>1.6013578494850616E-2</v>
      </c>
      <c r="M37" s="16">
        <f t="shared" si="16"/>
        <v>1.6013578494850616E-2</v>
      </c>
    </row>
    <row r="38" spans="2:13" s="7" customFormat="1" x14ac:dyDescent="0.25">
      <c r="B38" s="14">
        <f t="shared" si="7"/>
        <v>100</v>
      </c>
      <c r="C38" s="14">
        <f>_xlfn.CEILING.MATH(B18/Sheet1!$M$3)</f>
        <v>1</v>
      </c>
      <c r="D38" s="14">
        <f t="shared" si="8"/>
        <v>1</v>
      </c>
      <c r="E38" s="15">
        <f t="shared" si="8"/>
        <v>3687</v>
      </c>
      <c r="F38" s="15">
        <f t="shared" si="9"/>
        <v>2749.2435999999998</v>
      </c>
      <c r="G38" s="15">
        <f t="shared" si="10"/>
        <v>526450</v>
      </c>
      <c r="H38" s="15">
        <f t="shared" si="11"/>
        <v>3888.9417599999997</v>
      </c>
      <c r="I38" s="15">
        <f t="shared" si="12"/>
        <v>2191.1357600000001</v>
      </c>
      <c r="J38" s="15">
        <f t="shared" si="13"/>
        <v>538966.32111999998</v>
      </c>
      <c r="K38" s="15">
        <f t="shared" si="14"/>
        <v>12.298428284045272</v>
      </c>
      <c r="L38" s="16">
        <f t="shared" si="15"/>
        <v>1.6013578494850616E-2</v>
      </c>
      <c r="M38" s="16">
        <f t="shared" si="16"/>
        <v>1.6013578494850616E-2</v>
      </c>
    </row>
    <row r="39" spans="2:13" s="7" customFormat="1" x14ac:dyDescent="0.25">
      <c r="B39" s="14">
        <f t="shared" si="7"/>
        <v>1000</v>
      </c>
      <c r="C39" s="14">
        <f>_xlfn.CEILING.MATH(B19/Sheet1!$M$3)</f>
        <v>2</v>
      </c>
      <c r="D39" s="14">
        <f t="shared" si="8"/>
        <v>2</v>
      </c>
      <c r="E39" s="15">
        <f t="shared" si="8"/>
        <v>7374</v>
      </c>
      <c r="F39" s="15">
        <f t="shared" si="9"/>
        <v>2749.2435999999998</v>
      </c>
      <c r="G39" s="15">
        <f t="shared" si="10"/>
        <v>526450</v>
      </c>
      <c r="H39" s="15">
        <f t="shared" si="11"/>
        <v>7777.8835199999994</v>
      </c>
      <c r="I39" s="15">
        <f t="shared" si="12"/>
        <v>2191.1357600000001</v>
      </c>
      <c r="J39" s="15">
        <f t="shared" si="13"/>
        <v>546542.26288000005</v>
      </c>
      <c r="K39" s="15">
        <f t="shared" si="14"/>
        <v>12.471300266520629</v>
      </c>
      <c r="L39" s="16">
        <f t="shared" si="15"/>
        <v>8.1193361110160345E-3</v>
      </c>
      <c r="M39" s="16">
        <f t="shared" si="16"/>
        <v>8.1193361110160345E-3</v>
      </c>
    </row>
    <row r="40" spans="2:13" s="7" customFormat="1" x14ac:dyDescent="0.25">
      <c r="B40" s="14">
        <f t="shared" si="7"/>
        <v>10000</v>
      </c>
      <c r="C40" s="14">
        <f>_xlfn.CEILING.MATH(B20/Sheet1!$M$3)</f>
        <v>14</v>
      </c>
      <c r="D40" s="14">
        <f t="shared" si="8"/>
        <v>14</v>
      </c>
      <c r="E40" s="15">
        <f t="shared" si="8"/>
        <v>51618</v>
      </c>
      <c r="F40" s="15">
        <f t="shared" si="9"/>
        <v>2749.2435999999998</v>
      </c>
      <c r="G40" s="15">
        <f t="shared" si="10"/>
        <v>526450</v>
      </c>
      <c r="H40" s="15">
        <f t="shared" si="11"/>
        <v>54445.184639999992</v>
      </c>
      <c r="I40" s="15">
        <f t="shared" si="12"/>
        <v>2191.1357600000001</v>
      </c>
      <c r="J40" s="15">
        <f t="shared" si="13"/>
        <v>637453.56400000001</v>
      </c>
      <c r="K40" s="15">
        <f t="shared" si="14"/>
        <v>14.545764056224899</v>
      </c>
      <c r="L40" s="16">
        <f t="shared" si="15"/>
        <v>1.3528426391578217E-3</v>
      </c>
      <c r="M40" s="16">
        <f t="shared" si="16"/>
        <v>1.3528426391578217E-3</v>
      </c>
    </row>
    <row r="41" spans="2:13" s="7" customFormat="1" x14ac:dyDescent="0.25">
      <c r="B41" s="14">
        <f t="shared" si="7"/>
        <v>100000</v>
      </c>
      <c r="C41" s="14">
        <f>_xlfn.CEILING.MATH(B21/Sheet1!$M$3)</f>
        <v>131</v>
      </c>
      <c r="D41" s="14">
        <f t="shared" si="8"/>
        <v>131</v>
      </c>
      <c r="E41" s="15">
        <f t="shared" si="8"/>
        <v>482997</v>
      </c>
      <c r="F41" s="15">
        <f t="shared" si="9"/>
        <v>16495.461599999999</v>
      </c>
      <c r="G41" s="15">
        <f t="shared" si="10"/>
        <v>526450</v>
      </c>
      <c r="H41" s="15">
        <f t="shared" si="11"/>
        <v>509451.37055999995</v>
      </c>
      <c r="I41" s="15">
        <f t="shared" si="12"/>
        <v>8764.5430400000005</v>
      </c>
      <c r="J41" s="15">
        <f t="shared" si="13"/>
        <v>1544158.3751999999</v>
      </c>
      <c r="K41" s="15">
        <f t="shared" si="14"/>
        <v>35.235450328587071</v>
      </c>
      <c r="L41" s="16">
        <f t="shared" si="15"/>
        <v>3.5022513446830342E-4</v>
      </c>
      <c r="M41" s="16">
        <f t="shared" si="16"/>
        <v>3.5022513446830342E-4</v>
      </c>
    </row>
    <row r="42" spans="2:13" s="7" customFormat="1" x14ac:dyDescent="0.25">
      <c r="B42" s="14">
        <f t="shared" si="7"/>
        <v>1000000</v>
      </c>
      <c r="C42" s="14">
        <f>_xlfn.CEILING.MATH(B22/Sheet1!$M$3)</f>
        <v>1303</v>
      </c>
      <c r="D42" s="14">
        <f t="shared" si="8"/>
        <v>1303</v>
      </c>
      <c r="E42" s="15">
        <f t="shared" si="8"/>
        <v>4804161</v>
      </c>
      <c r="F42" s="15">
        <f t="shared" si="9"/>
        <v>236434.94959999999</v>
      </c>
      <c r="G42" s="15">
        <f t="shared" si="10"/>
        <v>1052900</v>
      </c>
      <c r="H42" s="15">
        <f t="shared" si="11"/>
        <v>5067291.1132799992</v>
      </c>
      <c r="I42" s="15">
        <f t="shared" si="12"/>
        <v>70116.344320000004</v>
      </c>
      <c r="J42" s="15">
        <f t="shared" si="13"/>
        <v>11230903.407199997</v>
      </c>
      <c r="K42" s="15">
        <f t="shared" si="14"/>
        <v>256.27289629426792</v>
      </c>
      <c r="L42" s="16">
        <f t="shared" si="15"/>
        <v>2.5609260709887033E-4</v>
      </c>
      <c r="M42" s="16">
        <f t="shared" si="16"/>
        <v>2.5609260709887033E-4</v>
      </c>
    </row>
    <row r="43" spans="2:13" x14ac:dyDescent="0.25">
      <c r="B43" s="18">
        <f t="shared" si="7"/>
        <v>3840</v>
      </c>
      <c r="C43" s="18">
        <f>_xlfn.CEILING.MATH(B23/Sheet1!$M$3)</f>
        <v>5</v>
      </c>
      <c r="D43" s="18">
        <f t="shared" si="8"/>
        <v>5</v>
      </c>
      <c r="E43" s="15">
        <f t="shared" si="8"/>
        <v>18435</v>
      </c>
      <c r="F43" s="15">
        <f t="shared" si="9"/>
        <v>2749.2435999999998</v>
      </c>
      <c r="G43" s="15">
        <f t="shared" si="10"/>
        <v>526450</v>
      </c>
      <c r="H43" s="15">
        <f t="shared" si="11"/>
        <v>19444.7088</v>
      </c>
      <c r="I43" s="15">
        <f t="shared" si="12"/>
        <v>2191.1357600000001</v>
      </c>
      <c r="J43" s="15">
        <f t="shared" si="13"/>
        <v>569270.08816000004</v>
      </c>
      <c r="K43" s="15">
        <f t="shared" si="14"/>
        <v>12.989916213946698</v>
      </c>
      <c r="L43" s="16">
        <f t="shared" si="15"/>
        <v>3.3827906807152859E-3</v>
      </c>
      <c r="M43" s="16">
        <f t="shared" si="16"/>
        <v>3.3827906807152859E-3</v>
      </c>
    </row>
    <row r="44" spans="2:13" x14ac:dyDescent="0.25">
      <c r="B44" s="18">
        <f t="shared" si="7"/>
        <v>55675</v>
      </c>
      <c r="C44" s="18">
        <f>_xlfn.CEILING.MATH(B24/Sheet1!$M$3)</f>
        <v>73</v>
      </c>
      <c r="D44" s="18">
        <f t="shared" si="8"/>
        <v>73</v>
      </c>
      <c r="E44" s="15">
        <f t="shared" si="8"/>
        <v>269151</v>
      </c>
      <c r="F44" s="15">
        <f t="shared" si="9"/>
        <v>8247.7307999999994</v>
      </c>
      <c r="G44" s="15">
        <f t="shared" si="10"/>
        <v>526450</v>
      </c>
      <c r="H44" s="15">
        <f t="shared" si="11"/>
        <v>283892.74847999995</v>
      </c>
      <c r="I44" s="15">
        <f t="shared" si="12"/>
        <v>4382.2715200000002</v>
      </c>
      <c r="J44" s="15">
        <f t="shared" si="13"/>
        <v>1092123.7508</v>
      </c>
      <c r="K44" s="15">
        <f t="shared" si="14"/>
        <v>24.920677044541804</v>
      </c>
      <c r="L44" s="16">
        <f t="shared" si="15"/>
        <v>4.4450408541206129E-4</v>
      </c>
      <c r="M44" s="16">
        <f t="shared" si="16"/>
        <v>4.4450408541206129E-4</v>
      </c>
    </row>
  </sheetData>
  <mergeCells count="2">
    <mergeCell ref="E14:F14"/>
    <mergeCell ref="K14:L14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R46"/>
  <sheetViews>
    <sheetView topLeftCell="A18" zoomScale="70" zoomScaleNormal="70" workbookViewId="0">
      <selection activeCell="A29" sqref="A29:XFD29"/>
    </sheetView>
  </sheetViews>
  <sheetFormatPr defaultRowHeight="15" x14ac:dyDescent="0.25"/>
  <cols>
    <col min="1" max="1" width="9.140625" style="2"/>
    <col min="2" max="2" width="18" style="2" customWidth="1"/>
    <col min="3" max="3" width="29.7109375" style="2" customWidth="1"/>
    <col min="4" max="4" width="14.85546875" style="2" customWidth="1"/>
    <col min="5" max="5" width="27.28515625" style="2" customWidth="1"/>
    <col min="6" max="6" width="15.5703125" style="2" customWidth="1"/>
    <col min="7" max="7" width="11.5703125" style="2" bestFit="1" customWidth="1"/>
    <col min="8" max="8" width="11.7109375" style="2" bestFit="1" customWidth="1"/>
    <col min="9" max="9" width="9.28515625" style="2" bestFit="1" customWidth="1"/>
    <col min="10" max="10" width="12.7109375" style="2" bestFit="1" customWidth="1"/>
    <col min="11" max="11" width="9.28515625" style="2" bestFit="1" customWidth="1"/>
    <col min="12" max="12" width="10.5703125" style="2" bestFit="1" customWidth="1"/>
    <col min="13" max="13" width="13" style="2" bestFit="1" customWidth="1"/>
    <col min="14" max="14" width="9.140625" style="2"/>
    <col min="15" max="16" width="11.5703125" style="2" bestFit="1" customWidth="1"/>
    <col min="17" max="17" width="12.42578125" style="2" bestFit="1" customWidth="1"/>
    <col min="18" max="16384" width="9.140625" style="2"/>
  </cols>
  <sheetData>
    <row r="1" spans="2:17" ht="45" x14ac:dyDescent="0.25">
      <c r="B1" s="2" t="s">
        <v>28</v>
      </c>
      <c r="C1" s="2">
        <f>Sheet1!Q4</f>
        <v>0</v>
      </c>
    </row>
    <row r="3" spans="2:17" ht="45" x14ac:dyDescent="0.25">
      <c r="B3" s="2" t="s">
        <v>27</v>
      </c>
      <c r="C3" s="2" t="s">
        <v>33</v>
      </c>
      <c r="D3" s="2" t="s">
        <v>30</v>
      </c>
      <c r="E3" s="2" t="s">
        <v>31</v>
      </c>
      <c r="F3" s="2" t="s">
        <v>32</v>
      </c>
      <c r="G3" s="3" t="s">
        <v>89</v>
      </c>
    </row>
    <row r="4" spans="2:17" ht="30" x14ac:dyDescent="0.25">
      <c r="B4" s="2" t="s">
        <v>40</v>
      </c>
      <c r="C4" s="2" t="str">
        <f>PrCloudQty!C2</f>
        <v>NORCO RPC-170 Black 1U Rackmount Server Chassis</v>
      </c>
      <c r="D4" s="2">
        <v>1</v>
      </c>
      <c r="E4" s="8">
        <f>_xlfn.IFNA(VLOOKUP(TEXT(C4,"text"),Prices!$B$2:$C$300,2,FALSE),0)</f>
        <v>96.84</v>
      </c>
      <c r="F4" s="2">
        <f t="shared" ref="F4:F9" si="0">_xlfn.IFNA(D4*E4,0)</f>
        <v>96.84</v>
      </c>
      <c r="G4" s="3">
        <f>_xlfn.IFNA(VLOOKUP(TEXT(C4,"text"),Prices!$B$2:$D$300,3,FALSE)*D4,0)</f>
        <v>10</v>
      </c>
    </row>
    <row r="5" spans="2:17" ht="60" x14ac:dyDescent="0.25">
      <c r="B5" s="2" t="s">
        <v>26</v>
      </c>
      <c r="C5" s="2" t="str">
        <f>PrCloudDet!C2</f>
        <v>Intel Xeon E5-2680 v3 Haswell 2.5 GHz LGA 2011-3 120W BX80644E52680V3 Server Processor</v>
      </c>
      <c r="D5" s="2">
        <f>PrCloudQty!C4</f>
        <v>2</v>
      </c>
      <c r="E5" s="8">
        <f>_xlfn.IFNA(VLOOKUP(TEXT(C5,"text"),Prices!$B$2:$C$300,2,FALSE),0)</f>
        <v>1719.99</v>
      </c>
      <c r="F5" s="3">
        <f t="shared" si="0"/>
        <v>3439.98</v>
      </c>
      <c r="G5" s="3">
        <f>_xlfn.IFNA(VLOOKUP(TEXT(C5,"text"),Prices!$B$2:$D$300,3,FALSE)*D5,0)</f>
        <v>240</v>
      </c>
    </row>
    <row r="6" spans="2:17" ht="60" x14ac:dyDescent="0.25">
      <c r="B6" s="2" t="s">
        <v>29</v>
      </c>
      <c r="C6" s="2" t="str">
        <f>PrCloudQty!C5</f>
        <v>Kingston 16GB 288-Pin DDR4 SDRAM ECC Registered DDR4 2133 (PC4 17000) Server Memory Model KVR21R15D4/16</v>
      </c>
      <c r="D6" s="2">
        <f>PrCloudQty!C6</f>
        <v>23</v>
      </c>
      <c r="E6" s="8">
        <f>_xlfn.IFNA(VLOOKUP(TEXT(C6,"text"),Prices!$B$2:$C$300,2,FALSE),0)</f>
        <v>91.99</v>
      </c>
      <c r="F6" s="3">
        <f t="shared" si="0"/>
        <v>2115.77</v>
      </c>
      <c r="G6" s="3">
        <f>_xlfn.IFNA(VLOOKUP(TEXT(C6,"text"),Prices!$B$2:$D$300,3,FALSE)*D6,0)</f>
        <v>115</v>
      </c>
    </row>
    <row r="7" spans="2:17" ht="45" x14ac:dyDescent="0.25">
      <c r="B7" s="2" t="s">
        <v>37</v>
      </c>
      <c r="C7" s="2" t="str">
        <f>PrCloudQty!C7</f>
        <v>GIGABYTE MD80-TM0 E-ATX / SSI EEB Server Motherboard Dual LGA 2011-3 Intel C612</v>
      </c>
      <c r="D7" s="2">
        <v>1</v>
      </c>
      <c r="E7" s="8">
        <f>_xlfn.IFNA(VLOOKUP(TEXT(C7,"text"),Prices!$B$2:$C$300,2,FALSE),0)</f>
        <v>659.99</v>
      </c>
      <c r="F7" s="3">
        <f t="shared" si="0"/>
        <v>659.99</v>
      </c>
      <c r="G7" s="3">
        <f>_xlfn.IFNA(VLOOKUP(TEXT(C7,"text"),Prices!$B$2:$D$300,3,FALSE)*D7,0)</f>
        <v>25</v>
      </c>
    </row>
    <row r="8" spans="2:17" ht="45" x14ac:dyDescent="0.25">
      <c r="B8" s="2" t="s">
        <v>34</v>
      </c>
      <c r="C8" s="2" t="str">
        <f>PrCloudQty!C8</f>
        <v>Black Diamond Memory Sonic Series BDSSDS1T 2.5" 1TB SATA III TLC Internal Solid State Drive</v>
      </c>
      <c r="D8" s="2">
        <f>PrCloudQty!C9</f>
        <v>2</v>
      </c>
      <c r="E8" s="8">
        <f>_xlfn.IFNA(VLOOKUP(TEXT(C8,"text"),Prices!$B$2:$C$300,2,FALSE),0)</f>
        <v>259.99</v>
      </c>
      <c r="F8" s="3">
        <f t="shared" si="0"/>
        <v>519.98</v>
      </c>
      <c r="G8" s="3">
        <f>_xlfn.IFNA(VLOOKUP(TEXT(C8,"text"),Prices!$B$2:$D$300,3,FALSE)*D8,0)</f>
        <v>50</v>
      </c>
    </row>
    <row r="9" spans="2:17" ht="45" x14ac:dyDescent="0.25">
      <c r="B9" s="2" t="s">
        <v>35</v>
      </c>
      <c r="C9" s="2" t="str">
        <f>PrCloudQty!C13</f>
        <v>Lenovo ThinkServer I350-T4 AnyFabric 1 Gb 4-port Base-T Ethernet Adapter by Intel</v>
      </c>
      <c r="D9" s="2">
        <f>PrCloudQty!C14</f>
        <v>1</v>
      </c>
      <c r="E9" s="8">
        <f>_xlfn.IFNA(VLOOKUP(TEXT(C9,"text"),Prices!$B$2:$C$300,2,FALSE),0)</f>
        <v>90.99</v>
      </c>
      <c r="F9" s="3">
        <f t="shared" si="0"/>
        <v>90.99</v>
      </c>
      <c r="G9" s="3">
        <f>_xlfn.IFNA(VLOOKUP(TEXT(C9,"text"),Prices!$B$2:$D$300,3,FALSE)*D9,0)</f>
        <v>5</v>
      </c>
    </row>
    <row r="10" spans="2:17" s="7" customFormat="1" x14ac:dyDescent="0.25"/>
    <row r="11" spans="2:17" s="8" customFormat="1" x14ac:dyDescent="0.25">
      <c r="F11" s="8">
        <f>SUM(F4:F10)</f>
        <v>6923.5499999999993</v>
      </c>
      <c r="G11" s="8">
        <f>SUM(G4:G10)</f>
        <v>445</v>
      </c>
    </row>
    <row r="12" spans="2:17" s="8" customFormat="1" x14ac:dyDescent="0.25"/>
    <row r="13" spans="2:17" s="10" customFormat="1" x14ac:dyDescent="0.25"/>
    <row r="14" spans="2:17" s="10" customFormat="1" ht="33.75" customHeight="1" x14ac:dyDescent="0.25">
      <c r="E14" s="19" t="str">
        <f>PrCloudQty!B19</f>
        <v>NETGEAR ProSAFE XS728T 28-Port 10-Gigabit Ethernet Smart Managed Switch (XS728T) - Lifetime Warranty</v>
      </c>
      <c r="F14" s="19"/>
      <c r="G14" s="10" t="s">
        <v>105</v>
      </c>
      <c r="I14" s="10" t="s">
        <v>39</v>
      </c>
      <c r="J14" s="10" t="s">
        <v>105</v>
      </c>
      <c r="K14" s="19" t="str">
        <f>PrCloudQty!B15</f>
        <v>APC AR3300 42U NetShelter SX 600mm Wide x 1200mm Deep Enclosure</v>
      </c>
      <c r="L14" s="19"/>
      <c r="M14" s="10" t="s">
        <v>105</v>
      </c>
    </row>
    <row r="15" spans="2:17" s="10" customFormat="1" ht="60" x14ac:dyDescent="0.25">
      <c r="B15" s="10" t="s">
        <v>97</v>
      </c>
      <c r="C15" s="10" t="s">
        <v>98</v>
      </c>
      <c r="D15" s="10" t="s">
        <v>99</v>
      </c>
      <c r="E15" s="10" t="s">
        <v>102</v>
      </c>
      <c r="F15" s="10" t="s">
        <v>100</v>
      </c>
      <c r="G15" s="10" t="s">
        <v>103</v>
      </c>
      <c r="H15" s="10" t="s">
        <v>122</v>
      </c>
      <c r="I15" s="10" t="s">
        <v>101</v>
      </c>
      <c r="J15" s="10" t="s">
        <v>104</v>
      </c>
      <c r="K15" s="10" t="s">
        <v>79</v>
      </c>
      <c r="L15" s="10" t="s">
        <v>106</v>
      </c>
      <c r="M15" s="10" t="s">
        <v>107</v>
      </c>
      <c r="N15" s="10" t="s">
        <v>108</v>
      </c>
      <c r="O15" s="10" t="s">
        <v>109</v>
      </c>
      <c r="P15" s="10" t="s">
        <v>110</v>
      </c>
    </row>
    <row r="16" spans="2:17" s="10" customFormat="1" x14ac:dyDescent="0.25">
      <c r="B16" s="10">
        <v>1</v>
      </c>
      <c r="C16" s="14">
        <f>_xlfn.CEILING.MATH(_xlfn.CEILING.MATH(B16/Sheet1!$M$4)/PrCloudDet!$C$12)</f>
        <v>1</v>
      </c>
      <c r="D16" s="10">
        <f>$F$11*C16</f>
        <v>6923.5499999999993</v>
      </c>
      <c r="E16" s="12">
        <f>_xlfn.CEILING.MATH(((C16*3)+(IF(_xlfn.CEILING.MATH((C16*3)/28)&lt;=1,_xlfn.CEILING.MATH((C16*3)/28),((_xlfn.CEILING.MATH((C16*3)/28))*(_xlfn.CEILING.MATH((C16*3)/28)-1))/2)))/28)</f>
        <v>1</v>
      </c>
      <c r="F16" s="10">
        <f>_xlfn.IFNA(VLOOKUP($E$14,Prices!$B$2:$D$50,2,FALSE),0)*E16</f>
        <v>2413.9899999999998</v>
      </c>
      <c r="G16" s="10">
        <f>(((_xlfn.IFNA(VLOOKUP($E$14,Prices!$B$2:$D$50,3,FALSE),0)*E16)*24*1826)/1000)*(_xlfn.IFNA(VLOOKUP($G$14,Prices!$B$2:$D$50,2,FALSE),0))*2</f>
        <v>335.25359999999995</v>
      </c>
      <c r="H16" s="10">
        <f>_xlfn.CEILING.MATH(C16/1000)</f>
        <v>1</v>
      </c>
      <c r="I16" s="10">
        <f>_xlfn.IFNA(VLOOKUP($I$14,Prices!$B$2:$D$50,2,FALSE),0)*H16</f>
        <v>526450</v>
      </c>
      <c r="J16" s="10">
        <f>(($G$11*24*1826)/1000)*(_xlfn.IFNA(VLOOKUP($J$14,Prices!$B$2:$D$50,2,FALSE),0))*C16*2</f>
        <v>5967.5140799999999</v>
      </c>
      <c r="K16" s="10">
        <f t="shared" ref="K16:K22" si="1">_xlfn.CEILING.MATH(C16/42)</f>
        <v>1</v>
      </c>
      <c r="L16" s="10">
        <f>_xlfn.IFNA(VLOOKUP($K$14,Prices!$B$2:$D$50,2,FALSE),0)*K16</f>
        <v>1654.73</v>
      </c>
      <c r="M16" s="10">
        <f>(((_xlfn.IFNA(VLOOKUP($K$14,Prices!$B$2:$D$50,3,FALSE),0)*K16)*24*1826)/1000)*(_xlfn.IFNA(VLOOKUP($M$14,Prices!$B$2:$D$50,2,FALSE),0))*2</f>
        <v>536.40575999999999</v>
      </c>
      <c r="N16" s="10">
        <f t="shared" ref="N16:N22" si="2">D16+F16+G16+I16+J16+L16+M16</f>
        <v>544281.44343999994</v>
      </c>
      <c r="O16" s="10">
        <f>N16/1826/24</f>
        <v>12.419711652062794</v>
      </c>
      <c r="P16" s="10">
        <f>O16/(C16*PrCloudDet!$C$11)</f>
        <v>1.293719963756541E-2</v>
      </c>
      <c r="Q16" s="18">
        <f>O16/(Sheet1!$M$4*C36)</f>
        <v>0.62098558260313974</v>
      </c>
    </row>
    <row r="17" spans="2:18" s="10" customFormat="1" x14ac:dyDescent="0.25">
      <c r="B17" s="10">
        <v>10</v>
      </c>
      <c r="C17" s="14">
        <f>_xlfn.CEILING.MATH(_xlfn.CEILING.MATH(B17/Sheet1!$M$4)/PrCloudDet!$C$12)</f>
        <v>1</v>
      </c>
      <c r="D17" s="10">
        <f t="shared" ref="D17:D22" si="3">$F$11*C17</f>
        <v>6923.5499999999993</v>
      </c>
      <c r="E17" s="13">
        <f t="shared" ref="E17:E22" si="4">_xlfn.CEILING.MATH(((C17*3)+(IF(_xlfn.CEILING.MATH((C17*3)/28)&lt;=1,_xlfn.CEILING.MATH((C17*3)/28),((_xlfn.CEILING.MATH((C17*3)/28))*(_xlfn.CEILING.MATH((C17*3)/28)-1))/2)))/28)</f>
        <v>1</v>
      </c>
      <c r="F17" s="10">
        <f>_xlfn.IFNA(VLOOKUP($E$14,Prices!$B$2:$D$50,2,FALSE),0)</f>
        <v>2413.9899999999998</v>
      </c>
      <c r="G17" s="10">
        <f>(((_xlfn.IFNA(VLOOKUP($E$14,Prices!$B$2:$D$50,3,FALSE),0)*E17)*24*1826)/1000)*(_xlfn.IFNA(VLOOKUP($G$14,Prices!$B$2:$D$50,2,FALSE),0))*2</f>
        <v>335.25359999999995</v>
      </c>
      <c r="H17" s="10">
        <f t="shared" ref="H17:H22" si="5">_xlfn.CEILING.MATH(C17/1000)</f>
        <v>1</v>
      </c>
      <c r="I17" s="10">
        <f>_xlfn.IFNA(VLOOKUP($I$14,Prices!$B$2:$D$50,2,FALSE),0)*H17</f>
        <v>526450</v>
      </c>
      <c r="J17" s="10">
        <f>(($G$11*24*1826)/1000)*(_xlfn.IFNA(VLOOKUP($J$14,Prices!$B$2:$D$50,2,FALSE),0))*C17*2</f>
        <v>5967.5140799999999</v>
      </c>
      <c r="K17" s="10">
        <f t="shared" si="1"/>
        <v>1</v>
      </c>
      <c r="L17" s="10">
        <f>_xlfn.IFNA(VLOOKUP($K$14,Prices!$B$2:$D$50,2,FALSE),0)*K17</f>
        <v>1654.73</v>
      </c>
      <c r="M17" s="10">
        <f>(((_xlfn.IFNA(VLOOKUP($K$14,Prices!$B$2:$D$50,3,FALSE),0)*K17)*24*1826)/1000)*(_xlfn.IFNA(VLOOKUP($M$14,Prices!$B$2:$D$50,2,FALSE),0))*2</f>
        <v>536.40575999999999</v>
      </c>
      <c r="N17" s="10">
        <f t="shared" si="2"/>
        <v>544281.44343999994</v>
      </c>
      <c r="O17" s="10">
        <f t="shared" ref="O17:O22" si="6">N17/1826/24</f>
        <v>12.419711652062794</v>
      </c>
      <c r="P17" s="10">
        <f>O17/(C17*PrCloudDet!$C$11)</f>
        <v>1.293719963756541E-2</v>
      </c>
      <c r="Q17" s="18">
        <f>O17/(Sheet1!$M$4*C37)</f>
        <v>0.62098558260313974</v>
      </c>
    </row>
    <row r="18" spans="2:18" s="10" customFormat="1" x14ac:dyDescent="0.25">
      <c r="B18" s="10">
        <v>100</v>
      </c>
      <c r="C18" s="14">
        <f>_xlfn.CEILING.MATH(_xlfn.CEILING.MATH(B18/Sheet1!$M$4)/PrCloudDet!$C$12)</f>
        <v>1</v>
      </c>
      <c r="D18" s="10">
        <f t="shared" si="3"/>
        <v>6923.5499999999993</v>
      </c>
      <c r="E18" s="13">
        <f t="shared" si="4"/>
        <v>1</v>
      </c>
      <c r="F18" s="10">
        <f>_xlfn.IFNA(VLOOKUP($E$14,Prices!$B$2:$D$50,2,FALSE),0)</f>
        <v>2413.9899999999998</v>
      </c>
      <c r="G18" s="10">
        <f>(((_xlfn.IFNA(VLOOKUP($E$14,Prices!$B$2:$D$50,3,FALSE),0)*E18)*24*1826)/1000)*(_xlfn.IFNA(VLOOKUP($G$14,Prices!$B$2:$D$50,2,FALSE),0))*2</f>
        <v>335.25359999999995</v>
      </c>
      <c r="H18" s="10">
        <f t="shared" si="5"/>
        <v>1</v>
      </c>
      <c r="I18" s="10">
        <f>_xlfn.IFNA(VLOOKUP($I$14,Prices!$B$2:$D$50,2,FALSE),0)*H18</f>
        <v>526450</v>
      </c>
      <c r="J18" s="10">
        <f>(($G$11*24*1826)/1000)*(_xlfn.IFNA(VLOOKUP($J$14,Prices!$B$2:$D$50,2,FALSE),0))*C18*2</f>
        <v>5967.5140799999999</v>
      </c>
      <c r="K18" s="10">
        <f t="shared" si="1"/>
        <v>1</v>
      </c>
      <c r="L18" s="10">
        <f>_xlfn.IFNA(VLOOKUP($K$14,Prices!$B$2:$D$50,2,FALSE),0)*K18</f>
        <v>1654.73</v>
      </c>
      <c r="M18" s="10">
        <f>(((_xlfn.IFNA(VLOOKUP($K$14,Prices!$B$2:$D$50,3,FALSE),0)*K18)*24*1826)/1000)*(_xlfn.IFNA(VLOOKUP($M$14,Prices!$B$2:$D$50,2,FALSE),0))*2</f>
        <v>536.40575999999999</v>
      </c>
      <c r="N18" s="10">
        <f t="shared" si="2"/>
        <v>544281.44343999994</v>
      </c>
      <c r="O18" s="10">
        <f t="shared" si="6"/>
        <v>12.419711652062794</v>
      </c>
      <c r="P18" s="10">
        <f>O18/(C18*PrCloudDet!$C$11)</f>
        <v>1.293719963756541E-2</v>
      </c>
      <c r="Q18" s="18">
        <f>O18/(Sheet1!$M$4*C38)</f>
        <v>0.12419711652062794</v>
      </c>
    </row>
    <row r="19" spans="2:18" s="10" customFormat="1" x14ac:dyDescent="0.25">
      <c r="B19" s="10">
        <v>1000</v>
      </c>
      <c r="C19" s="14">
        <f>_xlfn.CEILING.MATH(_xlfn.CEILING.MATH(B19/Sheet1!$M$4)/PrCloudDet!$C$12)</f>
        <v>2</v>
      </c>
      <c r="D19" s="10">
        <f t="shared" si="3"/>
        <v>13847.099999999999</v>
      </c>
      <c r="E19" s="13">
        <f t="shared" si="4"/>
        <v>1</v>
      </c>
      <c r="F19" s="10">
        <f>_xlfn.IFNA(VLOOKUP($E$14,Prices!$B$2:$D$50,2,FALSE),0)</f>
        <v>2413.9899999999998</v>
      </c>
      <c r="G19" s="10">
        <f>(((_xlfn.IFNA(VLOOKUP($E$14,Prices!$B$2:$D$50,3,FALSE),0)*E19)*24*1826)/1000)*(_xlfn.IFNA(VLOOKUP($G$14,Prices!$B$2:$D$50,2,FALSE),0))*2</f>
        <v>335.25359999999995</v>
      </c>
      <c r="H19" s="10">
        <f t="shared" si="5"/>
        <v>1</v>
      </c>
      <c r="I19" s="10">
        <f>_xlfn.IFNA(VLOOKUP($I$14,Prices!$B$2:$D$50,2,FALSE),0)*H19</f>
        <v>526450</v>
      </c>
      <c r="J19" s="10">
        <f>(($G$11*24*1826)/1000)*(_xlfn.IFNA(VLOOKUP($J$14,Prices!$B$2:$D$50,2,FALSE),0))*C19*2</f>
        <v>11935.02816</v>
      </c>
      <c r="K19" s="10">
        <f t="shared" si="1"/>
        <v>1</v>
      </c>
      <c r="L19" s="10">
        <f>_xlfn.IFNA(VLOOKUP($K$14,Prices!$B$2:$D$50,2,FALSE),0)*K19</f>
        <v>1654.73</v>
      </c>
      <c r="M19" s="10">
        <f>(((_xlfn.IFNA(VLOOKUP($K$14,Prices!$B$2:$D$50,3,FALSE),0)*K19)*24*1826)/1000)*(_xlfn.IFNA(VLOOKUP($M$14,Prices!$B$2:$D$50,2,FALSE),0))*2</f>
        <v>536.40575999999999</v>
      </c>
      <c r="N19" s="10">
        <f t="shared" si="2"/>
        <v>557172.50751999998</v>
      </c>
      <c r="O19" s="10">
        <f t="shared" si="6"/>
        <v>12.713867002555675</v>
      </c>
      <c r="P19" s="10">
        <f>O19/(C19*PrCloudDet!$C$11)</f>
        <v>6.6218057304977479E-3</v>
      </c>
      <c r="Q19" s="18">
        <f>O19/(Sheet1!$M$4*C39)</f>
        <v>1.2713867002555675E-2</v>
      </c>
    </row>
    <row r="20" spans="2:18" s="10" customFormat="1" x14ac:dyDescent="0.25">
      <c r="B20" s="10">
        <v>10000</v>
      </c>
      <c r="C20" s="14">
        <f>_xlfn.CEILING.MATH(_xlfn.CEILING.MATH(B20/Sheet1!$M$4)/PrCloudDet!$C$12)</f>
        <v>11</v>
      </c>
      <c r="D20" s="10">
        <f t="shared" si="3"/>
        <v>76159.049999999988</v>
      </c>
      <c r="E20" s="13">
        <f t="shared" si="4"/>
        <v>2</v>
      </c>
      <c r="F20" s="10">
        <f>_xlfn.IFNA(VLOOKUP($E$14,Prices!$B$2:$D$50,2,FALSE),0)</f>
        <v>2413.9899999999998</v>
      </c>
      <c r="G20" s="10">
        <f>(((_xlfn.IFNA(VLOOKUP($E$14,Prices!$B$2:$D$50,3,FALSE),0)*E20)*24*1826)/1000)*(_xlfn.IFNA(VLOOKUP($G$14,Prices!$B$2:$D$50,2,FALSE),0))*2</f>
        <v>670.5071999999999</v>
      </c>
      <c r="H20" s="10">
        <f t="shared" si="5"/>
        <v>1</v>
      </c>
      <c r="I20" s="10">
        <f>_xlfn.IFNA(VLOOKUP($I$14,Prices!$B$2:$D$50,2,FALSE),0)*H20</f>
        <v>526450</v>
      </c>
      <c r="J20" s="10">
        <f>(($G$11*24*1826)/1000)*(_xlfn.IFNA(VLOOKUP($J$14,Prices!$B$2:$D$50,2,FALSE),0))*C20*2</f>
        <v>65642.654880000002</v>
      </c>
      <c r="K20" s="10">
        <f t="shared" si="1"/>
        <v>1</v>
      </c>
      <c r="L20" s="10">
        <f>_xlfn.IFNA(VLOOKUP($K$14,Prices!$B$2:$D$50,2,FALSE),0)*K20</f>
        <v>1654.73</v>
      </c>
      <c r="M20" s="10">
        <f>(((_xlfn.IFNA(VLOOKUP($K$14,Prices!$B$2:$D$50,3,FALSE),0)*K20)*24*1826)/1000)*(_xlfn.IFNA(VLOOKUP($M$14,Prices!$B$2:$D$50,2,FALSE),0))*2</f>
        <v>536.40575999999999</v>
      </c>
      <c r="N20" s="10">
        <f t="shared" si="2"/>
        <v>673527.33784000005</v>
      </c>
      <c r="O20" s="10">
        <f t="shared" si="6"/>
        <v>15.368915156991605</v>
      </c>
      <c r="P20" s="10">
        <f>O20/(C20*PrCloudDet!$C$11)</f>
        <v>1.4553896928969322E-3</v>
      </c>
      <c r="Q20" s="18">
        <f>O20/(Sheet1!$M$4*C40)</f>
        <v>1.5368915156991605E-3</v>
      </c>
    </row>
    <row r="21" spans="2:18" s="10" customFormat="1" x14ac:dyDescent="0.25">
      <c r="B21" s="10">
        <v>100000</v>
      </c>
      <c r="C21" s="14">
        <f>_xlfn.CEILING.MATH(_xlfn.CEILING.MATH(B21/Sheet1!$M$4)/PrCloudDet!$C$12)</f>
        <v>105</v>
      </c>
      <c r="D21" s="10">
        <f t="shared" si="3"/>
        <v>726972.74999999988</v>
      </c>
      <c r="E21" s="13">
        <f t="shared" si="4"/>
        <v>14</v>
      </c>
      <c r="F21" s="10">
        <f>_xlfn.IFNA(VLOOKUP($E$14,Prices!$B$2:$D$50,2,FALSE),0)</f>
        <v>2413.9899999999998</v>
      </c>
      <c r="G21" s="10">
        <f>(((_xlfn.IFNA(VLOOKUP($E$14,Prices!$B$2:$D$50,3,FALSE),0)*E21)*24*1826)/1000)*(_xlfn.IFNA(VLOOKUP($G$14,Prices!$B$2:$D$50,2,FALSE),0))*2</f>
        <v>4693.5504000000001</v>
      </c>
      <c r="H21" s="10">
        <f t="shared" si="5"/>
        <v>1</v>
      </c>
      <c r="I21" s="10">
        <f>_xlfn.IFNA(VLOOKUP($I$14,Prices!$B$2:$D$50,2,FALSE),0)*H21</f>
        <v>526450</v>
      </c>
      <c r="J21" s="10">
        <f>(($G$11*24*1826)/1000)*(_xlfn.IFNA(VLOOKUP($J$14,Prices!$B$2:$D$50,2,FALSE),0))*C21*2</f>
        <v>626588.97840000002</v>
      </c>
      <c r="K21" s="10">
        <f t="shared" si="1"/>
        <v>3</v>
      </c>
      <c r="L21" s="10">
        <f>_xlfn.IFNA(VLOOKUP($K$14,Prices!$B$2:$D$50,2,FALSE),0)*K21</f>
        <v>4964.1900000000005</v>
      </c>
      <c r="M21" s="10">
        <f>(((_xlfn.IFNA(VLOOKUP($K$14,Prices!$B$2:$D$50,3,FALSE),0)*K21)*24*1826)/1000)*(_xlfn.IFNA(VLOOKUP($M$14,Prices!$B$2:$D$50,2,FALSE),0))*2</f>
        <v>1609.2172800000001</v>
      </c>
      <c r="N21" s="10">
        <f t="shared" si="2"/>
        <v>1893692.6760799997</v>
      </c>
      <c r="O21" s="10">
        <f t="shared" si="6"/>
        <v>43.211315171595466</v>
      </c>
      <c r="P21" s="10">
        <f>O21/(C21*PrCloudDet!$C$11)</f>
        <v>4.2868368225789153E-4</v>
      </c>
      <c r="Q21" s="18">
        <f>O21/(Sheet1!$M$4*C41)</f>
        <v>4.3211315171595466E-4</v>
      </c>
    </row>
    <row r="22" spans="2:18" s="10" customFormat="1" x14ac:dyDescent="0.25">
      <c r="B22" s="10">
        <v>1000000</v>
      </c>
      <c r="C22" s="14">
        <f>_xlfn.CEILING.MATH(_xlfn.CEILING.MATH(B22/Sheet1!$M$4)/PrCloudDet!$C$12)</f>
        <v>1042</v>
      </c>
      <c r="D22" s="10">
        <f t="shared" si="3"/>
        <v>7214339.0999999996</v>
      </c>
      <c r="E22" s="13">
        <f t="shared" si="4"/>
        <v>334</v>
      </c>
      <c r="F22" s="10">
        <f>_xlfn.IFNA(VLOOKUP($E$14,Prices!$B$2:$D$50,2,FALSE),0)</f>
        <v>2413.9899999999998</v>
      </c>
      <c r="G22" s="10">
        <f>(((_xlfn.IFNA(VLOOKUP($E$14,Prices!$B$2:$D$50,3,FALSE),0)*E22)*24*1826)/1000)*(_xlfn.IFNA(VLOOKUP($G$14,Prices!$B$2:$D$50,2,FALSE),0))*2</f>
        <v>111974.70240000001</v>
      </c>
      <c r="H22" s="10">
        <f t="shared" si="5"/>
        <v>2</v>
      </c>
      <c r="I22" s="10">
        <f>_xlfn.IFNA(VLOOKUP($I$14,Prices!$B$2:$D$50,2,FALSE),0)*H22</f>
        <v>1052900</v>
      </c>
      <c r="J22" s="10">
        <f>(($G$11*24*1826)/1000)*(_xlfn.IFNA(VLOOKUP($J$14,Prices!$B$2:$D$50,2,FALSE),0))*C22*2</f>
        <v>6218149.67136</v>
      </c>
      <c r="K22" s="10">
        <f t="shared" si="1"/>
        <v>25</v>
      </c>
      <c r="L22" s="10">
        <f>_xlfn.IFNA(VLOOKUP($K$14,Prices!$B$2:$D$50,2,FALSE),0)*K22</f>
        <v>41368.25</v>
      </c>
      <c r="M22" s="10">
        <f>(((_xlfn.IFNA(VLOOKUP($K$14,Prices!$B$2:$D$50,3,FALSE),0)*K22)*24*1826)/1000)*(_xlfn.IFNA(VLOOKUP($M$14,Prices!$B$2:$D$50,2,FALSE),0))*2</f>
        <v>13410.144</v>
      </c>
      <c r="N22" s="10">
        <f t="shared" si="2"/>
        <v>14654555.857759999</v>
      </c>
      <c r="O22" s="10">
        <f t="shared" si="6"/>
        <v>334.39567035779481</v>
      </c>
      <c r="P22" s="10">
        <f>O22/(C22*PrCloudDet!$C$11)</f>
        <v>3.3428869797444297E-4</v>
      </c>
      <c r="Q22" s="18">
        <f>O22/(Sheet1!$M$4*C42)</f>
        <v>3.343956703577948E-4</v>
      </c>
    </row>
    <row r="23" spans="2:18" s="8" customFormat="1" x14ac:dyDescent="0.25">
      <c r="B23" s="8">
        <v>1900</v>
      </c>
      <c r="C23" s="18">
        <f>_xlfn.CEILING.MATH(_xlfn.CEILING.MATH(B23/Sheet1!$M$4)/PrCloudDet!$C$12)</f>
        <v>2</v>
      </c>
      <c r="D23" s="18">
        <f>$F$11*C23</f>
        <v>13847.099999999999</v>
      </c>
      <c r="E23" s="18">
        <f>_xlfn.CEILING.MATH(((C23*3)+(IF(_xlfn.CEILING.MATH((C23*3)/28)&lt;=1,_xlfn.CEILING.MATH((C23*3)/28),((_xlfn.CEILING.MATH((C23*3)/28))*(_xlfn.CEILING.MATH((C23*3)/28)-1))/2)))/28)</f>
        <v>1</v>
      </c>
      <c r="F23" s="18">
        <f>_xlfn.IFNA(VLOOKUP($E$14,Prices!$B$2:$D$50,2,FALSE),0)</f>
        <v>2413.9899999999998</v>
      </c>
      <c r="G23" s="18">
        <f>(((_xlfn.IFNA(VLOOKUP($E$14,Prices!$B$2:$D$50,3,FALSE),0)*E23)*24*1826)/1000)*(_xlfn.IFNA(VLOOKUP($G$14,Prices!$B$2:$D$50,2,FALSE),0))*2</f>
        <v>335.25359999999995</v>
      </c>
      <c r="H23" s="18">
        <f>_xlfn.CEILING.MATH(C23/1000)</f>
        <v>1</v>
      </c>
      <c r="I23" s="18">
        <f>_xlfn.IFNA(VLOOKUP($I$14,Prices!$B$2:$D$50,2,FALSE),0)*H23</f>
        <v>526450</v>
      </c>
      <c r="J23" s="18">
        <f>(($G$11*24*1826)/1000)*(_xlfn.IFNA(VLOOKUP($J$14,Prices!$B$2:$D$50,2,FALSE),0))*C23*2</f>
        <v>11935.02816</v>
      </c>
      <c r="K23" s="18">
        <f>_xlfn.CEILING.MATH(C23/42)</f>
        <v>1</v>
      </c>
      <c r="L23" s="18">
        <f>_xlfn.IFNA(VLOOKUP($K$14,Prices!$B$2:$D$50,2,FALSE),0)*K23</f>
        <v>1654.73</v>
      </c>
      <c r="M23" s="18">
        <f>(((_xlfn.IFNA(VLOOKUP($K$14,Prices!$B$2:$D$50,3,FALSE),0)*K23)*24*1826)/1000)*(_xlfn.IFNA(VLOOKUP($M$14,Prices!$B$2:$D$50,2,FALSE),0))*2</f>
        <v>536.40575999999999</v>
      </c>
      <c r="N23" s="18">
        <f>D23+F23+G23+I23+J23+L23+M23</f>
        <v>557172.50751999998</v>
      </c>
      <c r="O23" s="18">
        <f>N23/1826/24</f>
        <v>12.713867002555675</v>
      </c>
      <c r="P23" s="18">
        <f>O23/(C23*PrCloudDet!$C$11)</f>
        <v>6.6218057304977479E-3</v>
      </c>
      <c r="Q23" s="18">
        <f>O23/(Sheet1!$M$4*C43)</f>
        <v>6.6915089487135137E-3</v>
      </c>
      <c r="R23" s="8">
        <v>6.6499999999999997E-3</v>
      </c>
    </row>
    <row r="24" spans="2:18" s="18" customFormat="1" x14ac:dyDescent="0.25">
      <c r="B24" s="18">
        <v>2865</v>
      </c>
      <c r="C24" s="18">
        <f>_xlfn.CEILING.MATH(_xlfn.CEILING.MATH(B24/Sheet1!$M$4)/PrCloudDet!$C$12)</f>
        <v>3</v>
      </c>
      <c r="D24" s="18">
        <f>$F$11*C24</f>
        <v>20770.649999999998</v>
      </c>
      <c r="E24" s="18">
        <f>_xlfn.CEILING.MATH(((C24*3)+(IF(_xlfn.CEILING.MATH((C24*3)/28)&lt;=1,_xlfn.CEILING.MATH((C24*3)/28),((_xlfn.CEILING.MATH((C24*3)/28))*(_xlfn.CEILING.MATH((C24*3)/28)-1))/2)))/28)</f>
        <v>1</v>
      </c>
      <c r="F24" s="18">
        <f>_xlfn.IFNA(VLOOKUP($E$14,Prices!$B$2:$D$50,2,FALSE),0)</f>
        <v>2413.9899999999998</v>
      </c>
      <c r="G24" s="18">
        <f>(((_xlfn.IFNA(VLOOKUP($E$14,Prices!$B$2:$D$50,3,FALSE),0)*E24)*24*1826)/1000)*(_xlfn.IFNA(VLOOKUP($G$14,Prices!$B$2:$D$50,2,FALSE),0))*2</f>
        <v>335.25359999999995</v>
      </c>
      <c r="H24" s="18">
        <f>_xlfn.CEILING.MATH(C24/1000)</f>
        <v>1</v>
      </c>
      <c r="I24" s="18">
        <f>_xlfn.IFNA(VLOOKUP($I$14,Prices!$B$2:$D$50,2,FALSE),0)*H24</f>
        <v>526450</v>
      </c>
      <c r="J24" s="18">
        <f>(($G$11*24*1826)/1000)*(_xlfn.IFNA(VLOOKUP($J$14,Prices!$B$2:$D$50,2,FALSE),0))*C24*2</f>
        <v>17902.542239999999</v>
      </c>
      <c r="K24" s="18">
        <f>_xlfn.CEILING.MATH(C24/42)</f>
        <v>1</v>
      </c>
      <c r="L24" s="18">
        <f>_xlfn.IFNA(VLOOKUP($K$14,Prices!$B$2:$D$50,2,FALSE),0)*K24</f>
        <v>1654.73</v>
      </c>
      <c r="M24" s="18">
        <f>(((_xlfn.IFNA(VLOOKUP($K$14,Prices!$B$2:$D$50,3,FALSE),0)*K24)*24*1826)/1000)*(_xlfn.IFNA(VLOOKUP($M$14,Prices!$B$2:$D$50,2,FALSE),0))*2</f>
        <v>536.40575999999999</v>
      </c>
      <c r="N24" s="18">
        <f>D24+F24+G24+I24+J24+L24+M24</f>
        <v>570063.57159999991</v>
      </c>
      <c r="O24" s="18">
        <f>N24/1826/24</f>
        <v>13.008022353048554</v>
      </c>
      <c r="P24" s="18">
        <f>O24/(C24*PrCloudDet!$C$11)</f>
        <v>4.5166744281418588E-3</v>
      </c>
      <c r="Q24" s="18">
        <f>O24/(Sheet1!$M$4*C44)</f>
        <v>4.5166744281418588E-3</v>
      </c>
    </row>
    <row r="25" spans="2:18" s="18" customFormat="1" x14ac:dyDescent="0.25">
      <c r="B25" s="18">
        <v>3840</v>
      </c>
      <c r="C25" s="18">
        <f>_xlfn.CEILING.MATH(_xlfn.CEILING.MATH(B25/Sheet1!$M$4)/PrCloudDet!$C$12)</f>
        <v>4</v>
      </c>
      <c r="D25" s="18">
        <f>$F$11*C25</f>
        <v>27694.199999999997</v>
      </c>
      <c r="E25" s="18">
        <f>_xlfn.CEILING.MATH(((C25*3)+(IF(_xlfn.CEILING.MATH((C25*3)/28)&lt;=1,_xlfn.CEILING.MATH((C25*3)/28),((_xlfn.CEILING.MATH((C25*3)/28))*(_xlfn.CEILING.MATH((C25*3)/28)-1))/2)))/28)</f>
        <v>1</v>
      </c>
      <c r="F25" s="18">
        <f>_xlfn.IFNA(VLOOKUP($E$14,Prices!$B$2:$D$50,2,FALSE),0)</f>
        <v>2413.9899999999998</v>
      </c>
      <c r="G25" s="18">
        <f>(((_xlfn.IFNA(VLOOKUP($E$14,Prices!$B$2:$D$50,3,FALSE),0)*E25)*24*1826)/1000)*(_xlfn.IFNA(VLOOKUP($G$14,Prices!$B$2:$D$50,2,FALSE),0))*2</f>
        <v>335.25359999999995</v>
      </c>
      <c r="H25" s="18">
        <f>_xlfn.CEILING.MATH(C25/1000)</f>
        <v>1</v>
      </c>
      <c r="I25" s="18">
        <f>_xlfn.IFNA(VLOOKUP($I$14,Prices!$B$2:$D$50,2,FALSE),0)*H25</f>
        <v>526450</v>
      </c>
      <c r="J25" s="18">
        <f>(($G$11*24*1826)/1000)*(_xlfn.IFNA(VLOOKUP($J$14,Prices!$B$2:$D$50,2,FALSE),0))*C25*2</f>
        <v>23870.05632</v>
      </c>
      <c r="K25" s="18">
        <f>_xlfn.CEILING.MATH(C25/42)</f>
        <v>1</v>
      </c>
      <c r="L25" s="18">
        <f>_xlfn.IFNA(VLOOKUP($K$14,Prices!$B$2:$D$50,2,FALSE),0)*K25</f>
        <v>1654.73</v>
      </c>
      <c r="M25" s="18">
        <f>(((_xlfn.IFNA(VLOOKUP($K$14,Prices!$B$2:$D$50,3,FALSE),0)*K25)*24*1826)/1000)*(_xlfn.IFNA(VLOOKUP($M$14,Prices!$B$2:$D$50,2,FALSE),0))*2</f>
        <v>536.40575999999999</v>
      </c>
      <c r="N25" s="18">
        <f>D25+F25+G25+I25+J25+L25+M25</f>
        <v>582954.63567999995</v>
      </c>
      <c r="O25" s="18">
        <f>N25/1826/24</f>
        <v>13.302177703541437</v>
      </c>
      <c r="P25" s="18">
        <f>O25/(C25*PrCloudDet!$C$11)</f>
        <v>3.464108776963916E-3</v>
      </c>
      <c r="Q25" s="18">
        <f>O25/(Sheet1!$M$4*C45)</f>
        <v>3.464108776963916E-3</v>
      </c>
    </row>
    <row r="26" spans="2:18" s="18" customFormat="1" x14ac:dyDescent="0.25">
      <c r="B26" s="18">
        <v>55675</v>
      </c>
      <c r="C26" s="18">
        <f>_xlfn.CEILING.MATH(_xlfn.CEILING.MATH(B26/Sheet1!$M$4)/PrCloudDet!$C$12)</f>
        <v>58</v>
      </c>
      <c r="D26" s="18">
        <f>$F$11*C26</f>
        <v>401565.89999999997</v>
      </c>
      <c r="E26" s="18">
        <f>_xlfn.CEILING.MATH(((C26*3)+(IF(_xlfn.CEILING.MATH((C26*3)/28)&lt;=1,_xlfn.CEILING.MATH((C26*3)/28),((_xlfn.CEILING.MATH((C26*3)/28))*(_xlfn.CEILING.MATH((C26*3)/28)-1))/2)))/28)</f>
        <v>7</v>
      </c>
      <c r="F26" s="18">
        <f>_xlfn.IFNA(VLOOKUP($E$14,Prices!$B$2:$D$50,2,FALSE),0)</f>
        <v>2413.9899999999998</v>
      </c>
      <c r="G26" s="18">
        <f>(((_xlfn.IFNA(VLOOKUP($E$14,Prices!$B$2:$D$50,3,FALSE),0)*E26)*24*1826)/1000)*(_xlfn.IFNA(VLOOKUP($G$14,Prices!$B$2:$D$50,2,FALSE),0))*2</f>
        <v>2346.7752</v>
      </c>
      <c r="H26" s="18">
        <f>_xlfn.CEILING.MATH(C26/1000)</f>
        <v>1</v>
      </c>
      <c r="I26" s="18">
        <f>_xlfn.IFNA(VLOOKUP($I$14,Prices!$B$2:$D$50,2,FALSE),0)*H26</f>
        <v>526450</v>
      </c>
      <c r="J26" s="18">
        <f>(($G$11*24*1826)/1000)*(_xlfn.IFNA(VLOOKUP($J$14,Prices!$B$2:$D$50,2,FALSE),0))*C26*2</f>
        <v>346115.81663999998</v>
      </c>
      <c r="K26" s="18">
        <f>_xlfn.CEILING.MATH(C26/42)</f>
        <v>2</v>
      </c>
      <c r="L26" s="18">
        <f>_xlfn.IFNA(VLOOKUP($K$14,Prices!$B$2:$D$50,2,FALSE),0)*K26</f>
        <v>3309.46</v>
      </c>
      <c r="M26" s="18">
        <f>(((_xlfn.IFNA(VLOOKUP($K$14,Prices!$B$2:$D$50,3,FALSE),0)*K26)*24*1826)/1000)*(_xlfn.IFNA(VLOOKUP($M$14,Prices!$B$2:$D$50,2,FALSE),0))*2</f>
        <v>1072.81152</v>
      </c>
      <c r="N26" s="18">
        <f>D26+F26+G26+I26+J26+L26+M26</f>
        <v>1283274.75336</v>
      </c>
      <c r="O26" s="18">
        <f>N26/1826/24</f>
        <v>29.282465164293537</v>
      </c>
      <c r="P26" s="18">
        <f>O26/(C26*PrCloudDet!$C$11)</f>
        <v>5.2590634274952476E-4</v>
      </c>
      <c r="Q26" s="18">
        <f>O26/(Sheet1!$M$4*C46)</f>
        <v>5.2590634274952476E-4</v>
      </c>
    </row>
    <row r="27" spans="2:18" s="18" customFormat="1" x14ac:dyDescent="0.25"/>
    <row r="28" spans="2:18" s="18" customFormat="1" x14ac:dyDescent="0.25"/>
    <row r="29" spans="2:18" s="18" customFormat="1" x14ac:dyDescent="0.25"/>
    <row r="30" spans="2:18" s="18" customFormat="1" x14ac:dyDescent="0.25"/>
    <row r="31" spans="2:18" s="18" customFormat="1" x14ac:dyDescent="0.25"/>
    <row r="32" spans="2:18" s="18" customFormat="1" x14ac:dyDescent="0.25"/>
    <row r="33" spans="2:17" s="18" customFormat="1" x14ac:dyDescent="0.25"/>
    <row r="34" spans="2:17" s="8" customFormat="1" x14ac:dyDescent="0.25"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</row>
    <row r="35" spans="2:17" ht="120" x14ac:dyDescent="0.25">
      <c r="B35" s="14" t="s">
        <v>97</v>
      </c>
      <c r="C35" s="2" t="s">
        <v>127</v>
      </c>
      <c r="D35" s="14" t="s">
        <v>128</v>
      </c>
      <c r="E35" s="14" t="s">
        <v>123</v>
      </c>
      <c r="F35" s="14" t="s">
        <v>124</v>
      </c>
      <c r="G35" s="14" t="s">
        <v>125</v>
      </c>
      <c r="H35" s="14" t="s">
        <v>104</v>
      </c>
      <c r="I35" s="14" t="s">
        <v>126</v>
      </c>
      <c r="J35" s="14" t="s">
        <v>108</v>
      </c>
      <c r="K35" s="14" t="s">
        <v>109</v>
      </c>
      <c r="L35" s="14" t="s">
        <v>110</v>
      </c>
    </row>
    <row r="36" spans="2:17" x14ac:dyDescent="0.25">
      <c r="B36" s="2">
        <f t="shared" ref="B36:B46" si="7">B16</f>
        <v>1</v>
      </c>
      <c r="C36" s="2">
        <f>_xlfn.CEILING.MATH(B16/Sheet1!$M$4)</f>
        <v>1</v>
      </c>
      <c r="D36" s="2">
        <f t="shared" ref="D36:E46" si="8">C16</f>
        <v>1</v>
      </c>
      <c r="E36" s="15">
        <f t="shared" si="8"/>
        <v>6923.5499999999993</v>
      </c>
      <c r="F36" s="15">
        <f t="shared" ref="F36:F46" si="9">F16+G16</f>
        <v>2749.2435999999998</v>
      </c>
      <c r="G36" s="15">
        <f t="shared" ref="G36:G46" si="10">I16</f>
        <v>526450</v>
      </c>
      <c r="H36" s="15">
        <f t="shared" ref="H36:H46" si="11">J16</f>
        <v>5967.5140799999999</v>
      </c>
      <c r="I36" s="15">
        <f t="shared" ref="I36:I46" si="12">L16+M16</f>
        <v>2191.1357600000001</v>
      </c>
      <c r="J36" s="15">
        <f t="shared" ref="J36:J46" si="13">N16</f>
        <v>544281.44343999994</v>
      </c>
      <c r="K36" s="15">
        <f t="shared" ref="K36:K46" si="14">O16</f>
        <v>12.419711652062794</v>
      </c>
      <c r="L36" s="16">
        <f t="shared" ref="L36:L46" si="15">P16</f>
        <v>1.293719963756541E-2</v>
      </c>
      <c r="M36" s="16">
        <f t="shared" ref="M36:M46" si="16">Q16</f>
        <v>0.62098558260313974</v>
      </c>
    </row>
    <row r="37" spans="2:17" x14ac:dyDescent="0.25">
      <c r="B37" s="14">
        <f t="shared" si="7"/>
        <v>10</v>
      </c>
      <c r="C37" s="14">
        <f>_xlfn.CEILING.MATH(B17/Sheet1!$M$4)</f>
        <v>1</v>
      </c>
      <c r="D37" s="14">
        <f t="shared" si="8"/>
        <v>1</v>
      </c>
      <c r="E37" s="15">
        <f t="shared" si="8"/>
        <v>6923.5499999999993</v>
      </c>
      <c r="F37" s="15">
        <f t="shared" si="9"/>
        <v>2749.2435999999998</v>
      </c>
      <c r="G37" s="15">
        <f t="shared" si="10"/>
        <v>526450</v>
      </c>
      <c r="H37" s="15">
        <f t="shared" si="11"/>
        <v>5967.5140799999999</v>
      </c>
      <c r="I37" s="15">
        <f t="shared" si="12"/>
        <v>2191.1357600000001</v>
      </c>
      <c r="J37" s="15">
        <f t="shared" si="13"/>
        <v>544281.44343999994</v>
      </c>
      <c r="K37" s="15">
        <f t="shared" si="14"/>
        <v>12.419711652062794</v>
      </c>
      <c r="L37" s="16">
        <f t="shared" si="15"/>
        <v>1.293719963756541E-2</v>
      </c>
      <c r="M37" s="16">
        <f t="shared" si="16"/>
        <v>0.62098558260313974</v>
      </c>
    </row>
    <row r="38" spans="2:17" x14ac:dyDescent="0.25">
      <c r="B38" s="14">
        <f t="shared" si="7"/>
        <v>100</v>
      </c>
      <c r="C38" s="14">
        <f>_xlfn.CEILING.MATH(B18/Sheet1!$M$4)</f>
        <v>5</v>
      </c>
      <c r="D38" s="14">
        <f t="shared" si="8"/>
        <v>1</v>
      </c>
      <c r="E38" s="15">
        <f t="shared" si="8"/>
        <v>6923.5499999999993</v>
      </c>
      <c r="F38" s="15">
        <f t="shared" si="9"/>
        <v>2749.2435999999998</v>
      </c>
      <c r="G38" s="15">
        <f t="shared" si="10"/>
        <v>526450</v>
      </c>
      <c r="H38" s="15">
        <f t="shared" si="11"/>
        <v>5967.5140799999999</v>
      </c>
      <c r="I38" s="15">
        <f t="shared" si="12"/>
        <v>2191.1357600000001</v>
      </c>
      <c r="J38" s="15">
        <f t="shared" si="13"/>
        <v>544281.44343999994</v>
      </c>
      <c r="K38" s="15">
        <f t="shared" si="14"/>
        <v>12.419711652062794</v>
      </c>
      <c r="L38" s="16">
        <f t="shared" si="15"/>
        <v>1.293719963756541E-2</v>
      </c>
      <c r="M38" s="16">
        <f t="shared" si="16"/>
        <v>0.12419711652062794</v>
      </c>
    </row>
    <row r="39" spans="2:17" x14ac:dyDescent="0.25">
      <c r="B39" s="14">
        <f t="shared" si="7"/>
        <v>1000</v>
      </c>
      <c r="C39" s="14">
        <f>_xlfn.CEILING.MATH(B19/Sheet1!$M$4)</f>
        <v>50</v>
      </c>
      <c r="D39" s="14">
        <f t="shared" si="8"/>
        <v>2</v>
      </c>
      <c r="E39" s="15">
        <f t="shared" si="8"/>
        <v>13847.099999999999</v>
      </c>
      <c r="F39" s="15">
        <f t="shared" si="9"/>
        <v>2749.2435999999998</v>
      </c>
      <c r="G39" s="15">
        <f t="shared" si="10"/>
        <v>526450</v>
      </c>
      <c r="H39" s="15">
        <f t="shared" si="11"/>
        <v>11935.02816</v>
      </c>
      <c r="I39" s="15">
        <f t="shared" si="12"/>
        <v>2191.1357600000001</v>
      </c>
      <c r="J39" s="15">
        <f t="shared" si="13"/>
        <v>557172.50751999998</v>
      </c>
      <c r="K39" s="15">
        <f t="shared" si="14"/>
        <v>12.713867002555675</v>
      </c>
      <c r="L39" s="16">
        <f t="shared" si="15"/>
        <v>6.6218057304977479E-3</v>
      </c>
      <c r="M39" s="16">
        <f t="shared" si="16"/>
        <v>1.2713867002555675E-2</v>
      </c>
    </row>
    <row r="40" spans="2:17" x14ac:dyDescent="0.25">
      <c r="B40" s="14">
        <f t="shared" si="7"/>
        <v>10000</v>
      </c>
      <c r="C40" s="14">
        <f>_xlfn.CEILING.MATH(B20/Sheet1!$M$4)</f>
        <v>500</v>
      </c>
      <c r="D40" s="14">
        <f t="shared" si="8"/>
        <v>11</v>
      </c>
      <c r="E40" s="15">
        <f t="shared" si="8"/>
        <v>76159.049999999988</v>
      </c>
      <c r="F40" s="15">
        <f t="shared" si="9"/>
        <v>3084.4971999999998</v>
      </c>
      <c r="G40" s="15">
        <f t="shared" si="10"/>
        <v>526450</v>
      </c>
      <c r="H40" s="15">
        <f t="shared" si="11"/>
        <v>65642.654880000002</v>
      </c>
      <c r="I40" s="15">
        <f t="shared" si="12"/>
        <v>2191.1357600000001</v>
      </c>
      <c r="J40" s="15">
        <f t="shared" si="13"/>
        <v>673527.33784000005</v>
      </c>
      <c r="K40" s="15">
        <f t="shared" si="14"/>
        <v>15.368915156991605</v>
      </c>
      <c r="L40" s="16">
        <f t="shared" si="15"/>
        <v>1.4553896928969322E-3</v>
      </c>
      <c r="M40" s="16">
        <f t="shared" si="16"/>
        <v>1.5368915156991605E-3</v>
      </c>
    </row>
    <row r="41" spans="2:17" x14ac:dyDescent="0.25">
      <c r="B41" s="14">
        <f t="shared" si="7"/>
        <v>100000</v>
      </c>
      <c r="C41" s="14">
        <f>_xlfn.CEILING.MATH(B21/Sheet1!$M$4)</f>
        <v>5000</v>
      </c>
      <c r="D41" s="14">
        <f t="shared" si="8"/>
        <v>105</v>
      </c>
      <c r="E41" s="15">
        <f t="shared" si="8"/>
        <v>726972.74999999988</v>
      </c>
      <c r="F41" s="15">
        <f t="shared" si="9"/>
        <v>7107.5403999999999</v>
      </c>
      <c r="G41" s="15">
        <f t="shared" si="10"/>
        <v>526450</v>
      </c>
      <c r="H41" s="15">
        <f t="shared" si="11"/>
        <v>626588.97840000002</v>
      </c>
      <c r="I41" s="15">
        <f t="shared" si="12"/>
        <v>6573.4072800000004</v>
      </c>
      <c r="J41" s="15">
        <f t="shared" si="13"/>
        <v>1893692.6760799997</v>
      </c>
      <c r="K41" s="15">
        <f t="shared" si="14"/>
        <v>43.211315171595466</v>
      </c>
      <c r="L41" s="16">
        <f t="shared" si="15"/>
        <v>4.2868368225789153E-4</v>
      </c>
      <c r="M41" s="16">
        <f t="shared" si="16"/>
        <v>4.3211315171595466E-4</v>
      </c>
    </row>
    <row r="42" spans="2:17" x14ac:dyDescent="0.25">
      <c r="B42" s="14">
        <f t="shared" si="7"/>
        <v>1000000</v>
      </c>
      <c r="C42" s="14">
        <f>_xlfn.CEILING.MATH(B22/Sheet1!$M$4)</f>
        <v>50000</v>
      </c>
      <c r="D42" s="14">
        <f t="shared" si="8"/>
        <v>1042</v>
      </c>
      <c r="E42" s="15">
        <f t="shared" si="8"/>
        <v>7214339.0999999996</v>
      </c>
      <c r="F42" s="15">
        <f t="shared" si="9"/>
        <v>114388.69240000001</v>
      </c>
      <c r="G42" s="15">
        <f t="shared" si="10"/>
        <v>1052900</v>
      </c>
      <c r="H42" s="15">
        <f t="shared" si="11"/>
        <v>6218149.67136</v>
      </c>
      <c r="I42" s="15">
        <f t="shared" si="12"/>
        <v>54778.394</v>
      </c>
      <c r="J42" s="15">
        <f t="shared" si="13"/>
        <v>14654555.857759999</v>
      </c>
      <c r="K42" s="15">
        <f t="shared" si="14"/>
        <v>334.39567035779481</v>
      </c>
      <c r="L42" s="16">
        <f t="shared" si="15"/>
        <v>3.3428869797444297E-4</v>
      </c>
      <c r="M42" s="16">
        <f t="shared" si="16"/>
        <v>3.343956703577948E-4</v>
      </c>
    </row>
    <row r="43" spans="2:17" x14ac:dyDescent="0.25">
      <c r="B43" s="18">
        <f t="shared" si="7"/>
        <v>1900</v>
      </c>
      <c r="C43" s="18">
        <f>_xlfn.CEILING.MATH(B23/Sheet1!$M$4)</f>
        <v>95</v>
      </c>
      <c r="D43" s="18">
        <f t="shared" si="8"/>
        <v>2</v>
      </c>
      <c r="E43" s="15">
        <f t="shared" si="8"/>
        <v>13847.099999999999</v>
      </c>
      <c r="F43" s="15">
        <f t="shared" si="9"/>
        <v>2749.2435999999998</v>
      </c>
      <c r="G43" s="15">
        <f t="shared" si="10"/>
        <v>526450</v>
      </c>
      <c r="H43" s="15">
        <f t="shared" si="11"/>
        <v>11935.02816</v>
      </c>
      <c r="I43" s="15">
        <f t="shared" si="12"/>
        <v>2191.1357600000001</v>
      </c>
      <c r="J43" s="15">
        <f t="shared" si="13"/>
        <v>557172.50751999998</v>
      </c>
      <c r="K43" s="15">
        <f t="shared" si="14"/>
        <v>12.713867002555675</v>
      </c>
      <c r="L43" s="16">
        <f t="shared" si="15"/>
        <v>6.6218057304977479E-3</v>
      </c>
      <c r="M43" s="16">
        <f t="shared" si="16"/>
        <v>6.6915089487135137E-3</v>
      </c>
    </row>
    <row r="44" spans="2:17" s="18" customFormat="1" x14ac:dyDescent="0.25">
      <c r="B44" s="18">
        <f t="shared" si="7"/>
        <v>2865</v>
      </c>
      <c r="C44" s="18">
        <f>_xlfn.CEILING.MATH(B24/Sheet1!$M$4)</f>
        <v>144</v>
      </c>
      <c r="D44" s="18">
        <f t="shared" si="8"/>
        <v>3</v>
      </c>
      <c r="E44" s="15">
        <f t="shared" si="8"/>
        <v>20770.649999999998</v>
      </c>
      <c r="F44" s="15">
        <f t="shared" si="9"/>
        <v>2749.2435999999998</v>
      </c>
      <c r="G44" s="15">
        <f t="shared" si="10"/>
        <v>526450</v>
      </c>
      <c r="H44" s="15">
        <f t="shared" si="11"/>
        <v>17902.542239999999</v>
      </c>
      <c r="I44" s="15">
        <f t="shared" si="12"/>
        <v>2191.1357600000001</v>
      </c>
      <c r="J44" s="15">
        <f t="shared" si="13"/>
        <v>570063.57159999991</v>
      </c>
      <c r="K44" s="15">
        <f t="shared" si="14"/>
        <v>13.008022353048554</v>
      </c>
      <c r="L44" s="16">
        <f t="shared" si="15"/>
        <v>4.5166744281418588E-3</v>
      </c>
      <c r="M44" s="16">
        <f t="shared" si="16"/>
        <v>4.5166744281418588E-3</v>
      </c>
    </row>
    <row r="45" spans="2:17" x14ac:dyDescent="0.25">
      <c r="B45" s="18">
        <f t="shared" si="7"/>
        <v>3840</v>
      </c>
      <c r="C45" s="18">
        <f>_xlfn.CEILING.MATH(B25/Sheet1!$M$4)</f>
        <v>192</v>
      </c>
      <c r="D45" s="18">
        <f t="shared" si="8"/>
        <v>4</v>
      </c>
      <c r="E45" s="15">
        <f t="shared" si="8"/>
        <v>27694.199999999997</v>
      </c>
      <c r="F45" s="15">
        <f t="shared" si="9"/>
        <v>2749.2435999999998</v>
      </c>
      <c r="G45" s="15">
        <f t="shared" si="10"/>
        <v>526450</v>
      </c>
      <c r="H45" s="15">
        <f t="shared" si="11"/>
        <v>23870.05632</v>
      </c>
      <c r="I45" s="15">
        <f t="shared" si="12"/>
        <v>2191.1357600000001</v>
      </c>
      <c r="J45" s="15">
        <f t="shared" si="13"/>
        <v>582954.63567999995</v>
      </c>
      <c r="K45" s="15">
        <f t="shared" si="14"/>
        <v>13.302177703541437</v>
      </c>
      <c r="L45" s="16">
        <f t="shared" si="15"/>
        <v>3.464108776963916E-3</v>
      </c>
      <c r="M45" s="16">
        <f t="shared" si="16"/>
        <v>3.464108776963916E-3</v>
      </c>
    </row>
    <row r="46" spans="2:17" x14ac:dyDescent="0.25">
      <c r="B46" s="18">
        <f t="shared" si="7"/>
        <v>55675</v>
      </c>
      <c r="C46" s="18">
        <f>_xlfn.CEILING.MATH(B26/Sheet1!$M$4)</f>
        <v>2784</v>
      </c>
      <c r="D46" s="18">
        <f t="shared" si="8"/>
        <v>58</v>
      </c>
      <c r="E46" s="15">
        <f t="shared" si="8"/>
        <v>401565.89999999997</v>
      </c>
      <c r="F46" s="15">
        <f t="shared" si="9"/>
        <v>4760.7651999999998</v>
      </c>
      <c r="G46" s="15">
        <f t="shared" si="10"/>
        <v>526450</v>
      </c>
      <c r="H46" s="15">
        <f t="shared" si="11"/>
        <v>346115.81663999998</v>
      </c>
      <c r="I46" s="15">
        <f t="shared" si="12"/>
        <v>4382.2715200000002</v>
      </c>
      <c r="J46" s="15">
        <f t="shared" si="13"/>
        <v>1283274.75336</v>
      </c>
      <c r="K46" s="15">
        <f t="shared" si="14"/>
        <v>29.282465164293537</v>
      </c>
      <c r="L46" s="16">
        <f t="shared" si="15"/>
        <v>5.2590634274952476E-4</v>
      </c>
      <c r="M46" s="16">
        <f t="shared" si="16"/>
        <v>5.2590634274952476E-4</v>
      </c>
    </row>
  </sheetData>
  <mergeCells count="2">
    <mergeCell ref="E14:F14"/>
    <mergeCell ref="K14:L14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Q46"/>
  <sheetViews>
    <sheetView topLeftCell="A15" zoomScale="70" zoomScaleNormal="70" workbookViewId="0">
      <selection activeCell="Q23" sqref="Q23"/>
    </sheetView>
  </sheetViews>
  <sheetFormatPr defaultRowHeight="15" x14ac:dyDescent="0.25"/>
  <cols>
    <col min="1" max="1" width="9.140625" style="2"/>
    <col min="2" max="2" width="18" style="2" customWidth="1"/>
    <col min="3" max="3" width="29.7109375" style="2" customWidth="1"/>
    <col min="4" max="4" width="14.85546875" style="2" customWidth="1"/>
    <col min="5" max="5" width="27.28515625" style="2" customWidth="1"/>
    <col min="6" max="6" width="15.5703125" style="2" customWidth="1"/>
    <col min="7" max="7" width="11.5703125" style="2" bestFit="1" customWidth="1"/>
    <col min="8" max="8" width="11.7109375" style="2" bestFit="1" customWidth="1"/>
    <col min="9" max="9" width="9.28515625" style="2" bestFit="1" customWidth="1"/>
    <col min="10" max="10" width="12.7109375" style="2" bestFit="1" customWidth="1"/>
    <col min="11" max="11" width="9.28515625" style="2" bestFit="1" customWidth="1"/>
    <col min="12" max="12" width="10.5703125" style="2" bestFit="1" customWidth="1"/>
    <col min="13" max="13" width="13" style="2" bestFit="1" customWidth="1"/>
    <col min="14" max="14" width="9.140625" style="2"/>
    <col min="15" max="16" width="11.5703125" style="2" bestFit="1" customWidth="1"/>
    <col min="17" max="17" width="13" style="2" bestFit="1" customWidth="1"/>
    <col min="18" max="16384" width="9.140625" style="2"/>
  </cols>
  <sheetData>
    <row r="1" spans="2:17" ht="45" x14ac:dyDescent="0.25">
      <c r="B1" s="2" t="s">
        <v>28</v>
      </c>
    </row>
    <row r="3" spans="2:17" ht="45" x14ac:dyDescent="0.25">
      <c r="B3" s="2" t="s">
        <v>27</v>
      </c>
      <c r="C3" s="2" t="s">
        <v>33</v>
      </c>
      <c r="D3" s="2" t="s">
        <v>30</v>
      </c>
      <c r="E3" s="2" t="s">
        <v>31</v>
      </c>
      <c r="F3" s="2" t="s">
        <v>32</v>
      </c>
      <c r="G3" s="3" t="s">
        <v>89</v>
      </c>
    </row>
    <row r="4" spans="2:17" ht="30" x14ac:dyDescent="0.25">
      <c r="B4" s="2" t="s">
        <v>40</v>
      </c>
      <c r="C4" s="2" t="str">
        <f>PrCloudQty!D2</f>
        <v>NORCO RPC-170 Black 1U Rackmount Server Chassis</v>
      </c>
      <c r="D4" s="2">
        <v>1</v>
      </c>
      <c r="E4" s="8">
        <f>_xlfn.IFNA(VLOOKUP(TEXT(C4,"text"),Prices!$B$2:$C$300,2,FALSE),0)</f>
        <v>96.84</v>
      </c>
      <c r="F4" s="2">
        <f t="shared" ref="F4:F9" si="0">_xlfn.IFNA(D4*E4, 0)</f>
        <v>96.84</v>
      </c>
      <c r="G4" s="3">
        <f>_xlfn.IFNA(VLOOKUP(TEXT(C4,"text"),Prices!$B$2:$D$300,3,FALSE)*D4,0)</f>
        <v>10</v>
      </c>
    </row>
    <row r="5" spans="2:17" ht="60" x14ac:dyDescent="0.25">
      <c r="B5" s="2" t="s">
        <v>26</v>
      </c>
      <c r="C5" s="2" t="str">
        <f>PrCloudDet!D2</f>
        <v>Intel Xeon E5-2680 v3 Haswell 2.5 GHz LGA 2011-3 120W BX80644E52680V3 Server Processor</v>
      </c>
      <c r="D5" s="2">
        <f>PrCloudQty!D4</f>
        <v>2</v>
      </c>
      <c r="E5" s="8">
        <f>_xlfn.IFNA(VLOOKUP(TEXT(C5,"text"),Prices!$B$2:$C$300,2,FALSE),0)</f>
        <v>1719.99</v>
      </c>
      <c r="F5" s="3">
        <f t="shared" si="0"/>
        <v>3439.98</v>
      </c>
      <c r="G5" s="3">
        <f>_xlfn.IFNA(VLOOKUP(TEXT(C5,"text"),Prices!$B$2:$D$300,3,FALSE)*D5,0)</f>
        <v>240</v>
      </c>
    </row>
    <row r="6" spans="2:17" ht="60" x14ac:dyDescent="0.25">
      <c r="B6" s="2" t="s">
        <v>29</v>
      </c>
      <c r="C6" s="2" t="str">
        <f>PrCloudQty!D5</f>
        <v>Kingston 16GB 288-Pin DDR4 SDRAM ECC Registered DDR4 2133 (PC4 17000) Server Memory Model KVR21R15D4/16</v>
      </c>
      <c r="D6" s="2">
        <f>PrCloudQty!D6</f>
        <v>23</v>
      </c>
      <c r="E6" s="8">
        <f>_xlfn.IFNA(VLOOKUP(TEXT(C6,"text"),Prices!$B$2:$C$300,2,FALSE),0)</f>
        <v>91.99</v>
      </c>
      <c r="F6" s="3">
        <f t="shared" si="0"/>
        <v>2115.77</v>
      </c>
      <c r="G6" s="3">
        <f>_xlfn.IFNA(VLOOKUP(TEXT(C6,"text"),Prices!$B$2:$D$300,3,FALSE)*D6,0)</f>
        <v>115</v>
      </c>
    </row>
    <row r="7" spans="2:17" ht="45" x14ac:dyDescent="0.25">
      <c r="B7" s="2" t="s">
        <v>37</v>
      </c>
      <c r="C7" s="2" t="str">
        <f>PrCloudQty!D7</f>
        <v>GIGABYTE MD80-TM0 E-ATX / SSI EEB Server Motherboard Dual LGA 2011-3 Intel C612</v>
      </c>
      <c r="D7" s="2">
        <v>1</v>
      </c>
      <c r="E7" s="8">
        <f>_xlfn.IFNA(VLOOKUP(TEXT(C7,"text"),Prices!$B$2:$C$300,2,FALSE),0)</f>
        <v>659.99</v>
      </c>
      <c r="F7" s="3">
        <f t="shared" si="0"/>
        <v>659.99</v>
      </c>
      <c r="G7" s="3">
        <f>_xlfn.IFNA(VLOOKUP(TEXT(C7,"text"),Prices!$B$2:$D$300,3,FALSE)*D7,0)</f>
        <v>25</v>
      </c>
    </row>
    <row r="8" spans="2:17" ht="45" x14ac:dyDescent="0.25">
      <c r="B8" s="2" t="s">
        <v>34</v>
      </c>
      <c r="C8" s="2" t="str">
        <f>PrCloudQty!D8</f>
        <v>Black Diamond Memory Sonic Series BDSSDS1T 2.5" 1TB SATA III TLC Internal Solid State Drive</v>
      </c>
      <c r="D8" s="2">
        <f>PrCloudQty!D9</f>
        <v>2</v>
      </c>
      <c r="E8" s="8">
        <f>_xlfn.IFNA(VLOOKUP(TEXT(C8,"text"),Prices!$B$2:$C$300,2,FALSE),0)</f>
        <v>259.99</v>
      </c>
      <c r="F8" s="3">
        <f t="shared" si="0"/>
        <v>519.98</v>
      </c>
      <c r="G8" s="3">
        <f>_xlfn.IFNA(VLOOKUP(TEXT(C8,"text"),Prices!$B$2:$D$300,3,FALSE)*D8,0)</f>
        <v>50</v>
      </c>
    </row>
    <row r="9" spans="2:17" x14ac:dyDescent="0.25">
      <c r="B9" s="2" t="s">
        <v>35</v>
      </c>
      <c r="E9" s="8">
        <f>_xlfn.IFNA(VLOOKUP(TEXT(C9,"text"),Prices!$B$2:$C$300,2,FALSE),0)</f>
        <v>0</v>
      </c>
      <c r="F9" s="3">
        <f t="shared" si="0"/>
        <v>0</v>
      </c>
      <c r="G9" s="3">
        <f>_xlfn.IFNA(VLOOKUP(TEXT(C9,"text"),Prices!$B$2:$D$300,3,FALSE)*D9,0)</f>
        <v>0</v>
      </c>
    </row>
    <row r="10" spans="2:17" s="7" customFormat="1" x14ac:dyDescent="0.25"/>
    <row r="11" spans="2:17" s="8" customFormat="1" x14ac:dyDescent="0.25">
      <c r="F11" s="8">
        <f>SUM(F4:F10)</f>
        <v>6832.5599999999995</v>
      </c>
      <c r="G11" s="8">
        <f>SUM(G4:G10)</f>
        <v>440</v>
      </c>
    </row>
    <row r="12" spans="2:17" s="8" customFormat="1" x14ac:dyDescent="0.25"/>
    <row r="13" spans="2:17" s="10" customFormat="1" x14ac:dyDescent="0.25"/>
    <row r="14" spans="2:17" s="10" customFormat="1" ht="33.75" customHeight="1" x14ac:dyDescent="0.25">
      <c r="E14" s="19" t="str">
        <f>PrCloudQty!B19</f>
        <v>NETGEAR ProSAFE XS728T 28-Port 10-Gigabit Ethernet Smart Managed Switch (XS728T) - Lifetime Warranty</v>
      </c>
      <c r="F14" s="19"/>
      <c r="G14" s="10" t="s">
        <v>105</v>
      </c>
      <c r="I14" s="10" t="s">
        <v>39</v>
      </c>
      <c r="J14" s="10" t="s">
        <v>105</v>
      </c>
      <c r="K14" s="19" t="str">
        <f>PrCloudQty!B15</f>
        <v>APC AR3300 42U NetShelter SX 600mm Wide x 1200mm Deep Enclosure</v>
      </c>
      <c r="L14" s="19"/>
      <c r="M14" s="10" t="s">
        <v>105</v>
      </c>
    </row>
    <row r="15" spans="2:17" s="10" customFormat="1" ht="60" x14ac:dyDescent="0.25">
      <c r="B15" s="10" t="s">
        <v>97</v>
      </c>
      <c r="C15" s="10" t="s">
        <v>98</v>
      </c>
      <c r="D15" s="10" t="s">
        <v>99</v>
      </c>
      <c r="E15" s="10" t="s">
        <v>102</v>
      </c>
      <c r="F15" s="10" t="s">
        <v>100</v>
      </c>
      <c r="G15" s="10" t="s">
        <v>103</v>
      </c>
      <c r="H15" s="10" t="s">
        <v>122</v>
      </c>
      <c r="I15" s="10" t="s">
        <v>101</v>
      </c>
      <c r="J15" s="10" t="s">
        <v>104</v>
      </c>
      <c r="K15" s="10" t="s">
        <v>79</v>
      </c>
      <c r="L15" s="10" t="s">
        <v>106</v>
      </c>
      <c r="M15" s="10" t="s">
        <v>107</v>
      </c>
      <c r="N15" s="10" t="s">
        <v>108</v>
      </c>
      <c r="O15" s="10" t="s">
        <v>109</v>
      </c>
      <c r="P15" s="10" t="s">
        <v>110</v>
      </c>
    </row>
    <row r="16" spans="2:17" s="10" customFormat="1" x14ac:dyDescent="0.25">
      <c r="B16" s="10">
        <v>1</v>
      </c>
      <c r="C16" s="14">
        <f>_xlfn.CEILING.MATH(_xlfn.CEILING.MATH(B16/Sheet1!$M$5)/PrCloudDet!$D$12)</f>
        <v>1</v>
      </c>
      <c r="D16" s="10">
        <f>$F$11*C16</f>
        <v>6832.5599999999995</v>
      </c>
      <c r="E16" s="12">
        <f>_xlfn.CEILING.MATH(((C16*2)+(IF(_xlfn.CEILING.MATH((C16*2)/28)&lt;=1,_xlfn.CEILING.MATH((C16*2)/28),((_xlfn.CEILING.MATH((C16*2)/28))*(_xlfn.CEILING.MATH((C16*2)/28)-1))/2)))/28)</f>
        <v>1</v>
      </c>
      <c r="F16" s="10">
        <f>_xlfn.IFNA(VLOOKUP($E$14,Prices!$B$2:$D$50,2,FALSE),0)*E16</f>
        <v>2413.9899999999998</v>
      </c>
      <c r="G16" s="10">
        <f>(((_xlfn.IFNA(VLOOKUP($E$14,Prices!$B$2:$D$50,3,FALSE),0)*E16)*24*1826)/1000)*(_xlfn.IFNA(VLOOKUP($G$14,Prices!$B$2:$D$50,2,FALSE),0))*2</f>
        <v>335.25359999999995</v>
      </c>
      <c r="H16" s="10">
        <f>_xlfn.CEILING.MATH(C16/1000)</f>
        <v>1</v>
      </c>
      <c r="I16" s="10">
        <f>_xlfn.IFNA(VLOOKUP($I$14,Prices!$B$2:$D$50,2,FALSE),0)*H16</f>
        <v>526450</v>
      </c>
      <c r="J16" s="10">
        <f>(($G$11*24*1826)/1000)*(_xlfn.IFNA(VLOOKUP($J$14,Prices!$B$2:$D$50,2,FALSE),0))*C16*2</f>
        <v>5900.4633600000006</v>
      </c>
      <c r="K16" s="10">
        <f t="shared" ref="K16:K22" si="1">_xlfn.CEILING.MATH(C16/42)</f>
        <v>1</v>
      </c>
      <c r="L16" s="10">
        <f>_xlfn.IFNA(VLOOKUP($K$14,Prices!$B$2:$D$50,2,FALSE),0)*K16</f>
        <v>1654.73</v>
      </c>
      <c r="M16" s="10">
        <f>(((_xlfn.IFNA(VLOOKUP($K$14,Prices!$B$2:$D$50,3,FALSE),0)*K16)*24*1826)/1000)*(_xlfn.IFNA(VLOOKUP($M$14,Prices!$B$2:$D$50,2,FALSE),0))*2</f>
        <v>536.40575999999999</v>
      </c>
      <c r="N16" s="10">
        <f t="shared" ref="N16:N22" si="2">D16+F16+G16+I16+J16+L16+M16</f>
        <v>544123.40272000001</v>
      </c>
      <c r="O16" s="10">
        <f>N16/1826/24</f>
        <v>12.416105392479006</v>
      </c>
      <c r="P16" s="10">
        <f>O16/(C16*PrCloudDet!$D$11)</f>
        <v>1.2933443117165631E-2</v>
      </c>
      <c r="Q16" s="18">
        <f>O16/(Sheet1!$M$5*C36)</f>
        <v>0.15520131740598758</v>
      </c>
    </row>
    <row r="17" spans="2:17" s="10" customFormat="1" x14ac:dyDescent="0.25">
      <c r="B17" s="10">
        <v>10</v>
      </c>
      <c r="C17" s="14">
        <f>_xlfn.CEILING.MATH(_xlfn.CEILING.MATH(B17/Sheet1!$M$5)/PrCloudDet!$D$12)</f>
        <v>1</v>
      </c>
      <c r="D17" s="10">
        <f t="shared" ref="D17:D22" si="3">$F$11*C17</f>
        <v>6832.5599999999995</v>
      </c>
      <c r="E17" s="13">
        <f t="shared" ref="E17:E22" si="4">_xlfn.CEILING.MATH(((C17*2)+(IF(_xlfn.CEILING.MATH((C17*2)/28)&lt;=1,_xlfn.CEILING.MATH((C17*2)/28),((_xlfn.CEILING.MATH((C17*2)/28))*(_xlfn.CEILING.MATH((C17*2)/28)-1))/2)))/28)</f>
        <v>1</v>
      </c>
      <c r="F17" s="10">
        <f>_xlfn.IFNA(VLOOKUP($E$14,Prices!$B$2:$D$50,2,FALSE),0)</f>
        <v>2413.9899999999998</v>
      </c>
      <c r="G17" s="10">
        <f>(((_xlfn.IFNA(VLOOKUP($E$14,Prices!$B$2:$D$50,3,FALSE),0)*E17)*24*1826)/1000)*(_xlfn.IFNA(VLOOKUP($G$14,Prices!$B$2:$D$50,2,FALSE),0))*2</f>
        <v>335.25359999999995</v>
      </c>
      <c r="H17" s="10">
        <f t="shared" ref="H17:H22" si="5">_xlfn.CEILING.MATH(C17/1000)</f>
        <v>1</v>
      </c>
      <c r="I17" s="10">
        <f>_xlfn.IFNA(VLOOKUP($I$14,Prices!$B$2:$D$50,2,FALSE),0)*H17</f>
        <v>526450</v>
      </c>
      <c r="J17" s="10">
        <f>(($G$11*24*1826)/1000)*(_xlfn.IFNA(VLOOKUP($J$14,Prices!$B$2:$D$50,2,FALSE),0))*C17*2</f>
        <v>5900.4633600000006</v>
      </c>
      <c r="K17" s="10">
        <f t="shared" si="1"/>
        <v>1</v>
      </c>
      <c r="L17" s="10">
        <f>_xlfn.IFNA(VLOOKUP($K$14,Prices!$B$2:$D$50,2,FALSE),0)*K17</f>
        <v>1654.73</v>
      </c>
      <c r="M17" s="10">
        <f>(((_xlfn.IFNA(VLOOKUP($K$14,Prices!$B$2:$D$50,3,FALSE),0)*K17)*24*1826)/1000)*(_xlfn.IFNA(VLOOKUP($M$14,Prices!$B$2:$D$50,2,FALSE),0))*2</f>
        <v>536.40575999999999</v>
      </c>
      <c r="N17" s="10">
        <f t="shared" si="2"/>
        <v>544123.40272000001</v>
      </c>
      <c r="O17" s="10">
        <f t="shared" ref="O17:O22" si="6">N17/1826/24</f>
        <v>12.416105392479006</v>
      </c>
      <c r="P17" s="10">
        <f>O17/(C17*PrCloudDet!$D$11)</f>
        <v>1.2933443117165631E-2</v>
      </c>
      <c r="Q17" s="18">
        <f>O17/(Sheet1!$M$5*C37)</f>
        <v>0.15520131740598758</v>
      </c>
    </row>
    <row r="18" spans="2:17" s="10" customFormat="1" x14ac:dyDescent="0.25">
      <c r="B18" s="10">
        <v>100</v>
      </c>
      <c r="C18" s="14">
        <f>_xlfn.CEILING.MATH(_xlfn.CEILING.MATH(B18/Sheet1!$M$5)/PrCloudDet!$D$12)</f>
        <v>1</v>
      </c>
      <c r="D18" s="10">
        <f t="shared" si="3"/>
        <v>6832.5599999999995</v>
      </c>
      <c r="E18" s="13">
        <f t="shared" si="4"/>
        <v>1</v>
      </c>
      <c r="F18" s="10">
        <f>_xlfn.IFNA(VLOOKUP($E$14,Prices!$B$2:$D$50,2,FALSE),0)</f>
        <v>2413.9899999999998</v>
      </c>
      <c r="G18" s="10">
        <f>(((_xlfn.IFNA(VLOOKUP($E$14,Prices!$B$2:$D$50,3,FALSE),0)*E18)*24*1826)/1000)*(_xlfn.IFNA(VLOOKUP($G$14,Prices!$B$2:$D$50,2,FALSE),0))*2</f>
        <v>335.25359999999995</v>
      </c>
      <c r="H18" s="10">
        <f t="shared" si="5"/>
        <v>1</v>
      </c>
      <c r="I18" s="10">
        <f>_xlfn.IFNA(VLOOKUP($I$14,Prices!$B$2:$D$50,2,FALSE),0)*H18</f>
        <v>526450</v>
      </c>
      <c r="J18" s="10">
        <f>(($G$11*24*1826)/1000)*(_xlfn.IFNA(VLOOKUP($J$14,Prices!$B$2:$D$50,2,FALSE),0))*C18*2</f>
        <v>5900.4633600000006</v>
      </c>
      <c r="K18" s="10">
        <f t="shared" si="1"/>
        <v>1</v>
      </c>
      <c r="L18" s="10">
        <f>_xlfn.IFNA(VLOOKUP($K$14,Prices!$B$2:$D$50,2,FALSE),0)*K18</f>
        <v>1654.73</v>
      </c>
      <c r="M18" s="10">
        <f>(((_xlfn.IFNA(VLOOKUP($K$14,Prices!$B$2:$D$50,3,FALSE),0)*K18)*24*1826)/1000)*(_xlfn.IFNA(VLOOKUP($M$14,Prices!$B$2:$D$50,2,FALSE),0))*2</f>
        <v>536.40575999999999</v>
      </c>
      <c r="N18" s="10">
        <f t="shared" si="2"/>
        <v>544123.40272000001</v>
      </c>
      <c r="O18" s="10">
        <f t="shared" si="6"/>
        <v>12.416105392479006</v>
      </c>
      <c r="P18" s="10">
        <f>O18/(C18*PrCloudDet!$D$11)</f>
        <v>1.2933443117165631E-2</v>
      </c>
      <c r="Q18" s="18">
        <f>O18/(Sheet1!$M$5*C38)</f>
        <v>7.7600658702993791E-2</v>
      </c>
    </row>
    <row r="19" spans="2:17" s="10" customFormat="1" x14ac:dyDescent="0.25">
      <c r="B19" s="10">
        <v>1000</v>
      </c>
      <c r="C19" s="14">
        <f>_xlfn.CEILING.MATH(_xlfn.CEILING.MATH(B19/Sheet1!$M$5)/PrCloudDet!$D$12)</f>
        <v>2</v>
      </c>
      <c r="D19" s="10">
        <f t="shared" si="3"/>
        <v>13665.119999999999</v>
      </c>
      <c r="E19" s="13">
        <f t="shared" si="4"/>
        <v>1</v>
      </c>
      <c r="F19" s="10">
        <f>_xlfn.IFNA(VLOOKUP($E$14,Prices!$B$2:$D$50,2,FALSE),0)</f>
        <v>2413.9899999999998</v>
      </c>
      <c r="G19" s="10">
        <f>(((_xlfn.IFNA(VLOOKUP($E$14,Prices!$B$2:$D$50,3,FALSE),0)*E19)*24*1826)/1000)*(_xlfn.IFNA(VLOOKUP($G$14,Prices!$B$2:$D$50,2,FALSE),0))*2</f>
        <v>335.25359999999995</v>
      </c>
      <c r="H19" s="10">
        <f t="shared" si="5"/>
        <v>1</v>
      </c>
      <c r="I19" s="10">
        <f>_xlfn.IFNA(VLOOKUP($I$14,Prices!$B$2:$D$50,2,FALSE),0)*H19</f>
        <v>526450</v>
      </c>
      <c r="J19" s="10">
        <f>(($G$11*24*1826)/1000)*(_xlfn.IFNA(VLOOKUP($J$14,Prices!$B$2:$D$50,2,FALSE),0))*C19*2</f>
        <v>11800.926720000001</v>
      </c>
      <c r="K19" s="10">
        <f t="shared" si="1"/>
        <v>1</v>
      </c>
      <c r="L19" s="10">
        <f>_xlfn.IFNA(VLOOKUP($K$14,Prices!$B$2:$D$50,2,FALSE),0)*K19</f>
        <v>1654.73</v>
      </c>
      <c r="M19" s="10">
        <f>(((_xlfn.IFNA(VLOOKUP($K$14,Prices!$B$2:$D$50,3,FALSE),0)*K19)*24*1826)/1000)*(_xlfn.IFNA(VLOOKUP($M$14,Prices!$B$2:$D$50,2,FALSE),0))*2</f>
        <v>536.40575999999999</v>
      </c>
      <c r="N19" s="10">
        <f t="shared" si="2"/>
        <v>556856.42608</v>
      </c>
      <c r="O19" s="10">
        <f t="shared" si="6"/>
        <v>12.706654483388098</v>
      </c>
      <c r="P19" s="10">
        <f>O19/(C19*PrCloudDet!$D$11)</f>
        <v>6.6180492100979676E-3</v>
      </c>
      <c r="Q19" s="18">
        <f>O19/(Sheet1!$M$5*C39)</f>
        <v>1.2217937003257786E-2</v>
      </c>
    </row>
    <row r="20" spans="2:17" s="10" customFormat="1" x14ac:dyDescent="0.25">
      <c r="B20" s="10">
        <v>10000</v>
      </c>
      <c r="C20" s="14">
        <f>_xlfn.CEILING.MATH(_xlfn.CEILING.MATH(B20/Sheet1!$M$5)/PrCloudDet!$D$12)</f>
        <v>11</v>
      </c>
      <c r="D20" s="10">
        <f t="shared" si="3"/>
        <v>75158.159999999989</v>
      </c>
      <c r="E20" s="13">
        <f t="shared" si="4"/>
        <v>1</v>
      </c>
      <c r="F20" s="10">
        <f>_xlfn.IFNA(VLOOKUP($E$14,Prices!$B$2:$D$50,2,FALSE),0)</f>
        <v>2413.9899999999998</v>
      </c>
      <c r="G20" s="10">
        <f>(((_xlfn.IFNA(VLOOKUP($E$14,Prices!$B$2:$D$50,3,FALSE),0)*E20)*24*1826)/1000)*(_xlfn.IFNA(VLOOKUP($G$14,Prices!$B$2:$D$50,2,FALSE),0))*2</f>
        <v>335.25359999999995</v>
      </c>
      <c r="H20" s="10">
        <f t="shared" si="5"/>
        <v>1</v>
      </c>
      <c r="I20" s="10">
        <f>_xlfn.IFNA(VLOOKUP($I$14,Prices!$B$2:$D$50,2,FALSE),0)*H20</f>
        <v>526450</v>
      </c>
      <c r="J20" s="10">
        <f>(($G$11*24*1826)/1000)*(_xlfn.IFNA(VLOOKUP($J$14,Prices!$B$2:$D$50,2,FALSE),0))*C20*2</f>
        <v>64905.09696000001</v>
      </c>
      <c r="K20" s="10">
        <f t="shared" si="1"/>
        <v>1</v>
      </c>
      <c r="L20" s="10">
        <f>_xlfn.IFNA(VLOOKUP($K$14,Prices!$B$2:$D$50,2,FALSE),0)*K20</f>
        <v>1654.73</v>
      </c>
      <c r="M20" s="10">
        <f>(((_xlfn.IFNA(VLOOKUP($K$14,Prices!$B$2:$D$50,3,FALSE),0)*K20)*24*1826)/1000)*(_xlfn.IFNA(VLOOKUP($M$14,Prices!$B$2:$D$50,2,FALSE),0))*2</f>
        <v>536.40575999999999</v>
      </c>
      <c r="N20" s="10">
        <f t="shared" si="2"/>
        <v>671453.63631999993</v>
      </c>
      <c r="O20" s="10">
        <f t="shared" si="6"/>
        <v>15.321596301569913</v>
      </c>
      <c r="P20" s="10">
        <f>O20/(C20*PrCloudDet!$D$11)</f>
        <v>1.450908740678969E-3</v>
      </c>
      <c r="Q20" s="18">
        <f>O20/(Sheet1!$M$5*C40)</f>
        <v>1.5321596301569914E-3</v>
      </c>
    </row>
    <row r="21" spans="2:17" s="10" customFormat="1" x14ac:dyDescent="0.25">
      <c r="B21" s="10">
        <v>100000</v>
      </c>
      <c r="C21" s="14">
        <f>_xlfn.CEILING.MATH(_xlfn.CEILING.MATH(B21/Sheet1!$M$5)/PrCloudDet!$D$12)</f>
        <v>105</v>
      </c>
      <c r="D21" s="10">
        <f t="shared" si="3"/>
        <v>717418.79999999993</v>
      </c>
      <c r="E21" s="13">
        <f t="shared" si="4"/>
        <v>9</v>
      </c>
      <c r="F21" s="10">
        <f>_xlfn.IFNA(VLOOKUP($E$14,Prices!$B$2:$D$50,2,FALSE),0)</f>
        <v>2413.9899999999998</v>
      </c>
      <c r="G21" s="10">
        <f>(((_xlfn.IFNA(VLOOKUP($E$14,Prices!$B$2:$D$50,3,FALSE),0)*E21)*24*1826)/1000)*(_xlfn.IFNA(VLOOKUP($G$14,Prices!$B$2:$D$50,2,FALSE),0))*2</f>
        <v>3017.2824000000001</v>
      </c>
      <c r="H21" s="10">
        <f t="shared" si="5"/>
        <v>1</v>
      </c>
      <c r="I21" s="10">
        <f>_xlfn.IFNA(VLOOKUP($I$14,Prices!$B$2:$D$50,2,FALSE),0)*H21</f>
        <v>526450</v>
      </c>
      <c r="J21" s="10">
        <f>(($G$11*24*1826)/1000)*(_xlfn.IFNA(VLOOKUP($J$14,Prices!$B$2:$D$50,2,FALSE),0))*C21*2</f>
        <v>619548.65280000004</v>
      </c>
      <c r="K21" s="10">
        <f t="shared" si="1"/>
        <v>3</v>
      </c>
      <c r="L21" s="10">
        <f>_xlfn.IFNA(VLOOKUP($K$14,Prices!$B$2:$D$50,2,FALSE),0)*K21</f>
        <v>4964.1900000000005</v>
      </c>
      <c r="M21" s="10">
        <f>(((_xlfn.IFNA(VLOOKUP($K$14,Prices!$B$2:$D$50,3,FALSE),0)*K21)*24*1826)/1000)*(_xlfn.IFNA(VLOOKUP($M$14,Prices!$B$2:$D$50,2,FALSE),0))*2</f>
        <v>1609.2172800000001</v>
      </c>
      <c r="N21" s="10">
        <f t="shared" si="2"/>
        <v>1875422.1324799999</v>
      </c>
      <c r="O21" s="10">
        <f t="shared" si="6"/>
        <v>42.794407915297548</v>
      </c>
      <c r="P21" s="10">
        <f>O21/(C21*PrCloudDet!$D$11)</f>
        <v>4.2454769757239633E-4</v>
      </c>
      <c r="Q21" s="18">
        <f>O21/(Sheet1!$M$5*C41)</f>
        <v>4.279440791529755E-4</v>
      </c>
    </row>
    <row r="22" spans="2:17" s="10" customFormat="1" x14ac:dyDescent="0.25">
      <c r="B22" s="10">
        <v>1000000</v>
      </c>
      <c r="C22" s="14">
        <f>_xlfn.CEILING.MATH(_xlfn.CEILING.MATH(B22/Sheet1!$M$5)/PrCloudDet!$D$12)</f>
        <v>1042</v>
      </c>
      <c r="D22" s="10">
        <f t="shared" si="3"/>
        <v>7119527.5199999996</v>
      </c>
      <c r="E22" s="13">
        <f t="shared" si="4"/>
        <v>174</v>
      </c>
      <c r="F22" s="10">
        <f>_xlfn.IFNA(VLOOKUP($E$14,Prices!$B$2:$D$50,2,FALSE),0)</f>
        <v>2413.9899999999998</v>
      </c>
      <c r="G22" s="10">
        <f>(((_xlfn.IFNA(VLOOKUP($E$14,Prices!$B$2:$D$50,3,FALSE),0)*E22)*24*1826)/1000)*(_xlfn.IFNA(VLOOKUP($G$14,Prices!$B$2:$D$50,2,FALSE),0))*2</f>
        <v>58334.126399999994</v>
      </c>
      <c r="H22" s="10">
        <f t="shared" si="5"/>
        <v>2</v>
      </c>
      <c r="I22" s="10">
        <f>_xlfn.IFNA(VLOOKUP($I$14,Prices!$B$2:$D$50,2,FALSE),0)*H22</f>
        <v>1052900</v>
      </c>
      <c r="J22" s="10">
        <f>(($G$11*24*1826)/1000)*(_xlfn.IFNA(VLOOKUP($J$14,Prices!$B$2:$D$50,2,FALSE),0))*C22*2</f>
        <v>6148282.8211200004</v>
      </c>
      <c r="K22" s="10">
        <f t="shared" si="1"/>
        <v>25</v>
      </c>
      <c r="L22" s="10">
        <f>_xlfn.IFNA(VLOOKUP($K$14,Prices!$B$2:$D$50,2,FALSE),0)*K22</f>
        <v>41368.25</v>
      </c>
      <c r="M22" s="10">
        <f>(((_xlfn.IFNA(VLOOKUP($K$14,Prices!$B$2:$D$50,3,FALSE),0)*K22)*24*1826)/1000)*(_xlfn.IFNA(VLOOKUP($M$14,Prices!$B$2:$D$50,2,FALSE),0))*2</f>
        <v>13410.144</v>
      </c>
      <c r="N22" s="10">
        <f t="shared" si="2"/>
        <v>14436236.85152</v>
      </c>
      <c r="O22" s="10">
        <f t="shared" si="6"/>
        <v>329.41394787148596</v>
      </c>
      <c r="P22" s="10">
        <f>O22/(C22*PrCloudDet!$D$11)</f>
        <v>3.2930856912936457E-4</v>
      </c>
      <c r="Q22" s="18">
        <f>O22/(Sheet1!$M$5*C42)</f>
        <v>3.2941394787148597E-4</v>
      </c>
    </row>
    <row r="23" spans="2:17" s="8" customFormat="1" x14ac:dyDescent="0.25">
      <c r="B23" s="8">
        <v>1900</v>
      </c>
      <c r="C23" s="18">
        <f>_xlfn.CEILING.MATH(_xlfn.CEILING.MATH(B23/Sheet1!$M$5)/PrCloudDet!$D$12)</f>
        <v>2</v>
      </c>
      <c r="D23" s="18">
        <f>$F$11*C23</f>
        <v>13665.119999999999</v>
      </c>
      <c r="E23" s="18">
        <f>_xlfn.CEILING.MATH(((C23*2)+(IF(_xlfn.CEILING.MATH((C23*2)/28)&lt;=1,_xlfn.CEILING.MATH((C23*2)/28),((_xlfn.CEILING.MATH((C23*2)/28))*(_xlfn.CEILING.MATH((C23*2)/28)-1))/2)))/28)</f>
        <v>1</v>
      </c>
      <c r="F23" s="18">
        <f>_xlfn.IFNA(VLOOKUP($E$14,Prices!$B$2:$D$50,2,FALSE),0)</f>
        <v>2413.9899999999998</v>
      </c>
      <c r="G23" s="18">
        <f>(((_xlfn.IFNA(VLOOKUP($E$14,Prices!$B$2:$D$50,3,FALSE),0)*E23)*24*1826)/1000)*(_xlfn.IFNA(VLOOKUP($G$14,Prices!$B$2:$D$50,2,FALSE),0))*2</f>
        <v>335.25359999999995</v>
      </c>
      <c r="H23" s="18">
        <f>_xlfn.CEILING.MATH(C23/1000)</f>
        <v>1</v>
      </c>
      <c r="I23" s="18">
        <f>_xlfn.IFNA(VLOOKUP($I$14,Prices!$B$2:$D$50,2,FALSE),0)*H23</f>
        <v>526450</v>
      </c>
      <c r="J23" s="18">
        <f>(($G$11*24*1826)/1000)*(_xlfn.IFNA(VLOOKUP($J$14,Prices!$B$2:$D$50,2,FALSE),0))*C23*2</f>
        <v>11800.926720000001</v>
      </c>
      <c r="K23" s="18">
        <f>_xlfn.CEILING.MATH(C23/42)</f>
        <v>1</v>
      </c>
      <c r="L23" s="18">
        <f>_xlfn.IFNA(VLOOKUP($K$14,Prices!$B$2:$D$50,2,FALSE),0)*K23</f>
        <v>1654.73</v>
      </c>
      <c r="M23" s="18">
        <f>(((_xlfn.IFNA(VLOOKUP($K$14,Prices!$B$2:$D$50,3,FALSE),0)*K23)*24*1826)/1000)*(_xlfn.IFNA(VLOOKUP($M$14,Prices!$B$2:$D$50,2,FALSE),0))*2</f>
        <v>536.40575999999999</v>
      </c>
      <c r="N23" s="18">
        <f>D23+F23+G23+I23+J23+L23+M23</f>
        <v>556856.42608</v>
      </c>
      <c r="O23" s="18">
        <f>N23/1826/24</f>
        <v>12.706654483388098</v>
      </c>
      <c r="P23" s="18">
        <f>O23/(C23*PrCloudDet!$D$11)</f>
        <v>6.6180492100979676E-3</v>
      </c>
      <c r="Q23" s="18">
        <f>O23/(Sheet1!$M$5*C43)</f>
        <v>6.6180492100979676E-3</v>
      </c>
    </row>
    <row r="24" spans="2:17" s="18" customFormat="1" x14ac:dyDescent="0.25">
      <c r="B24" s="18">
        <v>2865</v>
      </c>
      <c r="C24" s="18">
        <f>_xlfn.CEILING.MATH(_xlfn.CEILING.MATH(B24/Sheet1!$M$5)/PrCloudDet!$D$12)</f>
        <v>3</v>
      </c>
      <c r="D24" s="18">
        <f>$F$11*C24</f>
        <v>20497.68</v>
      </c>
      <c r="E24" s="18">
        <f>_xlfn.CEILING.MATH(((C24*2)+(IF(_xlfn.CEILING.MATH((C24*2)/28)&lt;=1,_xlfn.CEILING.MATH((C24*2)/28),((_xlfn.CEILING.MATH((C24*2)/28))*(_xlfn.CEILING.MATH((C24*2)/28)-1))/2)))/28)</f>
        <v>1</v>
      </c>
      <c r="F24" s="18">
        <f>_xlfn.IFNA(VLOOKUP($E$14,Prices!$B$2:$D$50,2,FALSE),0)</f>
        <v>2413.9899999999998</v>
      </c>
      <c r="G24" s="18">
        <f>(((_xlfn.IFNA(VLOOKUP($E$14,Prices!$B$2:$D$50,3,FALSE),0)*E24)*24*1826)/1000)*(_xlfn.IFNA(VLOOKUP($G$14,Prices!$B$2:$D$50,2,FALSE),0))*2</f>
        <v>335.25359999999995</v>
      </c>
      <c r="H24" s="18">
        <f>_xlfn.CEILING.MATH(C24/1000)</f>
        <v>1</v>
      </c>
      <c r="I24" s="18">
        <f>_xlfn.IFNA(VLOOKUP($I$14,Prices!$B$2:$D$50,2,FALSE),0)*H24</f>
        <v>526450</v>
      </c>
      <c r="J24" s="18">
        <f>(($G$11*24*1826)/1000)*(_xlfn.IFNA(VLOOKUP($J$14,Prices!$B$2:$D$50,2,FALSE),0))*C24*2</f>
        <v>17701.390080000001</v>
      </c>
      <c r="K24" s="18">
        <f>_xlfn.CEILING.MATH(C24/42)</f>
        <v>1</v>
      </c>
      <c r="L24" s="18">
        <f>_xlfn.IFNA(VLOOKUP($K$14,Prices!$B$2:$D$50,2,FALSE),0)*K24</f>
        <v>1654.73</v>
      </c>
      <c r="M24" s="18">
        <f>(((_xlfn.IFNA(VLOOKUP($K$14,Prices!$B$2:$D$50,3,FALSE),0)*K24)*24*1826)/1000)*(_xlfn.IFNA(VLOOKUP($M$14,Prices!$B$2:$D$50,2,FALSE),0))*2</f>
        <v>536.40575999999999</v>
      </c>
      <c r="N24" s="18">
        <f>D24+F24+G24+I24+J24+L24+M24</f>
        <v>569589.44944</v>
      </c>
      <c r="O24" s="18">
        <f>N24/1826/24</f>
        <v>12.997203574297188</v>
      </c>
      <c r="P24" s="18">
        <f>O24/(C24*PrCloudDet!$D$11)</f>
        <v>4.5129179077420794E-3</v>
      </c>
      <c r="Q24" s="18">
        <f>O24/(Sheet1!$M$5*C44)</f>
        <v>4.5129179077420794E-3</v>
      </c>
    </row>
    <row r="25" spans="2:17" s="18" customFormat="1" x14ac:dyDescent="0.25">
      <c r="B25" s="18">
        <v>3840</v>
      </c>
      <c r="C25" s="18">
        <f>_xlfn.CEILING.MATH(_xlfn.CEILING.MATH(B25/Sheet1!$M$5)/PrCloudDet!$D$12)</f>
        <v>4</v>
      </c>
      <c r="D25" s="18">
        <f>$F$11*C25</f>
        <v>27330.239999999998</v>
      </c>
      <c r="E25" s="18">
        <f>_xlfn.CEILING.MATH(((C25*2)+(IF(_xlfn.CEILING.MATH((C25*2)/28)&lt;=1,_xlfn.CEILING.MATH((C25*2)/28),((_xlfn.CEILING.MATH((C25*2)/28))*(_xlfn.CEILING.MATH((C25*2)/28)-1))/2)))/28)</f>
        <v>1</v>
      </c>
      <c r="F25" s="18">
        <f>_xlfn.IFNA(VLOOKUP($E$14,Prices!$B$2:$D$50,2,FALSE),0)</f>
        <v>2413.9899999999998</v>
      </c>
      <c r="G25" s="18">
        <f>(((_xlfn.IFNA(VLOOKUP($E$14,Prices!$B$2:$D$50,3,FALSE),0)*E25)*24*1826)/1000)*(_xlfn.IFNA(VLOOKUP($G$14,Prices!$B$2:$D$50,2,FALSE),0))*2</f>
        <v>335.25359999999995</v>
      </c>
      <c r="H25" s="18">
        <f>_xlfn.CEILING.MATH(C25/1000)</f>
        <v>1</v>
      </c>
      <c r="I25" s="18">
        <f>_xlfn.IFNA(VLOOKUP($I$14,Prices!$B$2:$D$50,2,FALSE),0)*H25</f>
        <v>526450</v>
      </c>
      <c r="J25" s="18">
        <f>(($G$11*24*1826)/1000)*(_xlfn.IFNA(VLOOKUP($J$14,Prices!$B$2:$D$50,2,FALSE),0))*C25*2</f>
        <v>23601.853440000003</v>
      </c>
      <c r="K25" s="18">
        <f>_xlfn.CEILING.MATH(C25/42)</f>
        <v>1</v>
      </c>
      <c r="L25" s="18">
        <f>_xlfn.IFNA(VLOOKUP($K$14,Prices!$B$2:$D$50,2,FALSE),0)*K25</f>
        <v>1654.73</v>
      </c>
      <c r="M25" s="18">
        <f>(((_xlfn.IFNA(VLOOKUP($K$14,Prices!$B$2:$D$50,3,FALSE),0)*K25)*24*1826)/1000)*(_xlfn.IFNA(VLOOKUP($M$14,Prices!$B$2:$D$50,2,FALSE),0))*2</f>
        <v>536.40575999999999</v>
      </c>
      <c r="N25" s="18">
        <f>D25+F25+G25+I25+J25+L25+M25</f>
        <v>582322.47279999999</v>
      </c>
      <c r="O25" s="18">
        <f>N25/1826/24</f>
        <v>13.287752665206279</v>
      </c>
      <c r="P25" s="18">
        <f>O25/(C25*PrCloudDet!$D$11)</f>
        <v>3.4603522565641353E-3</v>
      </c>
      <c r="Q25" s="18">
        <f>O25/(Sheet1!$M$5*C45)</f>
        <v>3.4603522565641353E-3</v>
      </c>
    </row>
    <row r="26" spans="2:17" s="18" customFormat="1" x14ac:dyDescent="0.25">
      <c r="B26" s="18">
        <v>55675</v>
      </c>
      <c r="C26" s="18">
        <f>_xlfn.CEILING.MATH(_xlfn.CEILING.MATH(B26/Sheet1!$M$5)/PrCloudDet!$D$12)</f>
        <v>58</v>
      </c>
      <c r="D26" s="18">
        <f>$F$11*C26</f>
        <v>396288.48</v>
      </c>
      <c r="E26" s="18">
        <f>_xlfn.CEILING.MATH(((C26*2)+(IF(_xlfn.CEILING.MATH((C26*2)/28)&lt;=1,_xlfn.CEILING.MATH((C26*2)/28),((_xlfn.CEILING.MATH((C26*2)/28))*(_xlfn.CEILING.MATH((C26*2)/28)-1))/2)))/28)</f>
        <v>5</v>
      </c>
      <c r="F26" s="18">
        <f>_xlfn.IFNA(VLOOKUP($E$14,Prices!$B$2:$D$50,2,FALSE),0)</f>
        <v>2413.9899999999998</v>
      </c>
      <c r="G26" s="18">
        <f>(((_xlfn.IFNA(VLOOKUP($E$14,Prices!$B$2:$D$50,3,FALSE),0)*E26)*24*1826)/1000)*(_xlfn.IFNA(VLOOKUP($G$14,Prices!$B$2:$D$50,2,FALSE),0))*2</f>
        <v>1676.268</v>
      </c>
      <c r="H26" s="18">
        <f>_xlfn.CEILING.MATH(C26/1000)</f>
        <v>1</v>
      </c>
      <c r="I26" s="18">
        <f>_xlfn.IFNA(VLOOKUP($I$14,Prices!$B$2:$D$50,2,FALSE),0)*H26</f>
        <v>526450</v>
      </c>
      <c r="J26" s="18">
        <f>(($G$11*24*1826)/1000)*(_xlfn.IFNA(VLOOKUP($J$14,Prices!$B$2:$D$50,2,FALSE),0))*C26*2</f>
        <v>342226.87488000002</v>
      </c>
      <c r="K26" s="18">
        <f>_xlfn.CEILING.MATH(C26/42)</f>
        <v>2</v>
      </c>
      <c r="L26" s="18">
        <f>_xlfn.IFNA(VLOOKUP($K$14,Prices!$B$2:$D$50,2,FALSE),0)*K26</f>
        <v>3309.46</v>
      </c>
      <c r="M26" s="18">
        <f>(((_xlfn.IFNA(VLOOKUP($K$14,Prices!$B$2:$D$50,3,FALSE),0)*K26)*24*1826)/1000)*(_xlfn.IFNA(VLOOKUP($M$14,Prices!$B$2:$D$50,2,FALSE),0))*2</f>
        <v>1072.81152</v>
      </c>
      <c r="N26" s="18">
        <f>D26+F26+G26+I26+J26+L26+M26</f>
        <v>1273437.8843999999</v>
      </c>
      <c r="O26" s="18">
        <f>N26/1826/24</f>
        <v>29.05800210843373</v>
      </c>
      <c r="P26" s="18">
        <f>O26/(C26*PrCloudDet!$D$11)</f>
        <v>5.2187503786698503E-4</v>
      </c>
      <c r="Q26" s="18">
        <f>O26/(Sheet1!$M$5*C46)</f>
        <v>5.2187503786698503E-4</v>
      </c>
    </row>
    <row r="27" spans="2:17" s="18" customFormat="1" x14ac:dyDescent="0.25"/>
    <row r="28" spans="2:17" s="18" customFormat="1" x14ac:dyDescent="0.25"/>
    <row r="29" spans="2:17" s="18" customFormat="1" x14ac:dyDescent="0.25"/>
    <row r="30" spans="2:17" s="18" customFormat="1" x14ac:dyDescent="0.25"/>
    <row r="31" spans="2:17" s="18" customFormat="1" x14ac:dyDescent="0.25"/>
    <row r="32" spans="2:17" s="18" customFormat="1" x14ac:dyDescent="0.25"/>
    <row r="33" spans="2:17" s="18" customFormat="1" x14ac:dyDescent="0.25"/>
    <row r="34" spans="2:17" s="8" customFormat="1" x14ac:dyDescent="0.25"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</row>
    <row r="35" spans="2:17" ht="120" x14ac:dyDescent="0.25">
      <c r="B35" s="14" t="s">
        <v>97</v>
      </c>
      <c r="C35" s="2" t="s">
        <v>127</v>
      </c>
      <c r="D35" s="14" t="s">
        <v>128</v>
      </c>
      <c r="E35" s="14" t="s">
        <v>123</v>
      </c>
      <c r="F35" s="14" t="s">
        <v>124</v>
      </c>
      <c r="G35" s="14" t="s">
        <v>125</v>
      </c>
      <c r="H35" s="14" t="s">
        <v>104</v>
      </c>
      <c r="I35" s="14" t="s">
        <v>126</v>
      </c>
      <c r="J35" s="14" t="s">
        <v>108</v>
      </c>
      <c r="K35" s="14" t="s">
        <v>109</v>
      </c>
      <c r="L35" s="14" t="s">
        <v>110</v>
      </c>
    </row>
    <row r="36" spans="2:17" x14ac:dyDescent="0.25">
      <c r="B36" s="2">
        <f t="shared" ref="B36:B46" si="7">B16</f>
        <v>1</v>
      </c>
      <c r="C36" s="2">
        <f>_xlfn.CEILING.MATH(B16/Sheet1!$M$5)</f>
        <v>1</v>
      </c>
      <c r="D36" s="2">
        <f t="shared" ref="D36:E46" si="8">C16</f>
        <v>1</v>
      </c>
      <c r="E36" s="15">
        <f t="shared" si="8"/>
        <v>6832.5599999999995</v>
      </c>
      <c r="F36" s="15">
        <f t="shared" ref="F36:F46" si="9">F16+G16</f>
        <v>2749.2435999999998</v>
      </c>
      <c r="G36" s="15">
        <f t="shared" ref="G36:G46" si="10">I16</f>
        <v>526450</v>
      </c>
      <c r="H36" s="15">
        <f t="shared" ref="H36:H46" si="11">J16</f>
        <v>5900.4633600000006</v>
      </c>
      <c r="I36" s="15">
        <f t="shared" ref="I36:I46" si="12">L16+M16</f>
        <v>2191.1357600000001</v>
      </c>
      <c r="J36" s="15">
        <f t="shared" ref="J36:J46" si="13">N16</f>
        <v>544123.40272000001</v>
      </c>
      <c r="K36" s="15">
        <f t="shared" ref="K36:K46" si="14">O16</f>
        <v>12.416105392479006</v>
      </c>
      <c r="L36" s="16">
        <f t="shared" ref="L36:L46" si="15">P16</f>
        <v>1.2933443117165631E-2</v>
      </c>
      <c r="M36" s="16">
        <f t="shared" ref="M36:M46" si="16">Q16</f>
        <v>0.15520131740598758</v>
      </c>
    </row>
    <row r="37" spans="2:17" x14ac:dyDescent="0.25">
      <c r="B37" s="14">
        <f t="shared" si="7"/>
        <v>10</v>
      </c>
      <c r="C37" s="14">
        <f>_xlfn.CEILING.MATH(B17/Sheet1!$M$5)</f>
        <v>1</v>
      </c>
      <c r="D37" s="14">
        <f t="shared" si="8"/>
        <v>1</v>
      </c>
      <c r="E37" s="15">
        <f t="shared" si="8"/>
        <v>6832.5599999999995</v>
      </c>
      <c r="F37" s="15">
        <f t="shared" si="9"/>
        <v>2749.2435999999998</v>
      </c>
      <c r="G37" s="15">
        <f t="shared" si="10"/>
        <v>526450</v>
      </c>
      <c r="H37" s="15">
        <f t="shared" si="11"/>
        <v>5900.4633600000006</v>
      </c>
      <c r="I37" s="15">
        <f t="shared" si="12"/>
        <v>2191.1357600000001</v>
      </c>
      <c r="J37" s="15">
        <f t="shared" si="13"/>
        <v>544123.40272000001</v>
      </c>
      <c r="K37" s="15">
        <f t="shared" si="14"/>
        <v>12.416105392479006</v>
      </c>
      <c r="L37" s="16">
        <f t="shared" si="15"/>
        <v>1.2933443117165631E-2</v>
      </c>
      <c r="M37" s="16">
        <f t="shared" si="16"/>
        <v>0.15520131740598758</v>
      </c>
    </row>
    <row r="38" spans="2:17" x14ac:dyDescent="0.25">
      <c r="B38" s="14">
        <f t="shared" si="7"/>
        <v>100</v>
      </c>
      <c r="C38" s="14">
        <f>_xlfn.CEILING.MATH(B18/Sheet1!$M$5)</f>
        <v>2</v>
      </c>
      <c r="D38" s="14">
        <f t="shared" si="8"/>
        <v>1</v>
      </c>
      <c r="E38" s="15">
        <f t="shared" si="8"/>
        <v>6832.5599999999995</v>
      </c>
      <c r="F38" s="15">
        <f t="shared" si="9"/>
        <v>2749.2435999999998</v>
      </c>
      <c r="G38" s="15">
        <f t="shared" si="10"/>
        <v>526450</v>
      </c>
      <c r="H38" s="15">
        <f t="shared" si="11"/>
        <v>5900.4633600000006</v>
      </c>
      <c r="I38" s="15">
        <f t="shared" si="12"/>
        <v>2191.1357600000001</v>
      </c>
      <c r="J38" s="15">
        <f t="shared" si="13"/>
        <v>544123.40272000001</v>
      </c>
      <c r="K38" s="15">
        <f t="shared" si="14"/>
        <v>12.416105392479006</v>
      </c>
      <c r="L38" s="16">
        <f t="shared" si="15"/>
        <v>1.2933443117165631E-2</v>
      </c>
      <c r="M38" s="16">
        <f t="shared" si="16"/>
        <v>7.7600658702993791E-2</v>
      </c>
    </row>
    <row r="39" spans="2:17" x14ac:dyDescent="0.25">
      <c r="B39" s="14">
        <f t="shared" si="7"/>
        <v>1000</v>
      </c>
      <c r="C39" s="14">
        <f>_xlfn.CEILING.MATH(B19/Sheet1!$M$5)</f>
        <v>13</v>
      </c>
      <c r="D39" s="14">
        <f t="shared" si="8"/>
        <v>2</v>
      </c>
      <c r="E39" s="15">
        <f t="shared" si="8"/>
        <v>13665.119999999999</v>
      </c>
      <c r="F39" s="15">
        <f t="shared" si="9"/>
        <v>2749.2435999999998</v>
      </c>
      <c r="G39" s="15">
        <f t="shared" si="10"/>
        <v>526450</v>
      </c>
      <c r="H39" s="15">
        <f t="shared" si="11"/>
        <v>11800.926720000001</v>
      </c>
      <c r="I39" s="15">
        <f t="shared" si="12"/>
        <v>2191.1357600000001</v>
      </c>
      <c r="J39" s="15">
        <f t="shared" si="13"/>
        <v>556856.42608</v>
      </c>
      <c r="K39" s="15">
        <f t="shared" si="14"/>
        <v>12.706654483388098</v>
      </c>
      <c r="L39" s="16">
        <f t="shared" si="15"/>
        <v>6.6180492100979676E-3</v>
      </c>
      <c r="M39" s="16">
        <f t="shared" si="16"/>
        <v>1.2217937003257786E-2</v>
      </c>
    </row>
    <row r="40" spans="2:17" x14ac:dyDescent="0.25">
      <c r="B40" s="14">
        <f t="shared" si="7"/>
        <v>10000</v>
      </c>
      <c r="C40" s="14">
        <f>_xlfn.CEILING.MATH(B20/Sheet1!$M$5)</f>
        <v>125</v>
      </c>
      <c r="D40" s="14">
        <f t="shared" si="8"/>
        <v>11</v>
      </c>
      <c r="E40" s="15">
        <f t="shared" si="8"/>
        <v>75158.159999999989</v>
      </c>
      <c r="F40" s="15">
        <f t="shared" si="9"/>
        <v>2749.2435999999998</v>
      </c>
      <c r="G40" s="15">
        <f t="shared" si="10"/>
        <v>526450</v>
      </c>
      <c r="H40" s="15">
        <f t="shared" si="11"/>
        <v>64905.09696000001</v>
      </c>
      <c r="I40" s="15">
        <f t="shared" si="12"/>
        <v>2191.1357600000001</v>
      </c>
      <c r="J40" s="15">
        <f t="shared" si="13"/>
        <v>671453.63631999993</v>
      </c>
      <c r="K40" s="15">
        <f t="shared" si="14"/>
        <v>15.321596301569913</v>
      </c>
      <c r="L40" s="16">
        <f t="shared" si="15"/>
        <v>1.450908740678969E-3</v>
      </c>
      <c r="M40" s="16">
        <f t="shared" si="16"/>
        <v>1.5321596301569914E-3</v>
      </c>
    </row>
    <row r="41" spans="2:17" x14ac:dyDescent="0.25">
      <c r="B41" s="14">
        <f t="shared" si="7"/>
        <v>100000</v>
      </c>
      <c r="C41" s="14">
        <f>_xlfn.CEILING.MATH(B21/Sheet1!$M$5)</f>
        <v>1250</v>
      </c>
      <c r="D41" s="14">
        <f t="shared" si="8"/>
        <v>105</v>
      </c>
      <c r="E41" s="15">
        <f t="shared" si="8"/>
        <v>717418.79999999993</v>
      </c>
      <c r="F41" s="15">
        <f t="shared" si="9"/>
        <v>5431.2723999999998</v>
      </c>
      <c r="G41" s="15">
        <f t="shared" si="10"/>
        <v>526450</v>
      </c>
      <c r="H41" s="15">
        <f t="shared" si="11"/>
        <v>619548.65280000004</v>
      </c>
      <c r="I41" s="15">
        <f t="shared" si="12"/>
        <v>6573.4072800000004</v>
      </c>
      <c r="J41" s="15">
        <f t="shared" si="13"/>
        <v>1875422.1324799999</v>
      </c>
      <c r="K41" s="15">
        <f t="shared" si="14"/>
        <v>42.794407915297548</v>
      </c>
      <c r="L41" s="16">
        <f t="shared" si="15"/>
        <v>4.2454769757239633E-4</v>
      </c>
      <c r="M41" s="16">
        <f t="shared" si="16"/>
        <v>4.279440791529755E-4</v>
      </c>
    </row>
    <row r="42" spans="2:17" x14ac:dyDescent="0.25">
      <c r="B42" s="14">
        <f t="shared" si="7"/>
        <v>1000000</v>
      </c>
      <c r="C42" s="14">
        <f>_xlfn.CEILING.MATH(B22/Sheet1!$M$5)</f>
        <v>12500</v>
      </c>
      <c r="D42" s="14">
        <f t="shared" si="8"/>
        <v>1042</v>
      </c>
      <c r="E42" s="15">
        <f t="shared" si="8"/>
        <v>7119527.5199999996</v>
      </c>
      <c r="F42" s="15">
        <f t="shared" si="9"/>
        <v>60748.116399999992</v>
      </c>
      <c r="G42" s="15">
        <f t="shared" si="10"/>
        <v>1052900</v>
      </c>
      <c r="H42" s="15">
        <f t="shared" si="11"/>
        <v>6148282.8211200004</v>
      </c>
      <c r="I42" s="15">
        <f t="shared" si="12"/>
        <v>54778.394</v>
      </c>
      <c r="J42" s="15">
        <f t="shared" si="13"/>
        <v>14436236.85152</v>
      </c>
      <c r="K42" s="15">
        <f t="shared" si="14"/>
        <v>329.41394787148596</v>
      </c>
      <c r="L42" s="16">
        <f t="shared" si="15"/>
        <v>3.2930856912936457E-4</v>
      </c>
      <c r="M42" s="16">
        <f t="shared" si="16"/>
        <v>3.2941394787148597E-4</v>
      </c>
    </row>
    <row r="43" spans="2:17" x14ac:dyDescent="0.25">
      <c r="B43" s="18">
        <f t="shared" si="7"/>
        <v>1900</v>
      </c>
      <c r="C43" s="18">
        <f>_xlfn.CEILING.MATH(B23/Sheet1!$M$5)</f>
        <v>24</v>
      </c>
      <c r="D43" s="18">
        <f t="shared" si="8"/>
        <v>2</v>
      </c>
      <c r="E43" s="15">
        <f t="shared" si="8"/>
        <v>13665.119999999999</v>
      </c>
      <c r="F43" s="15">
        <f t="shared" si="9"/>
        <v>2749.2435999999998</v>
      </c>
      <c r="G43" s="15">
        <f t="shared" si="10"/>
        <v>526450</v>
      </c>
      <c r="H43" s="15">
        <f t="shared" si="11"/>
        <v>11800.926720000001</v>
      </c>
      <c r="I43" s="15">
        <f t="shared" si="12"/>
        <v>2191.1357600000001</v>
      </c>
      <c r="J43" s="15">
        <f t="shared" si="13"/>
        <v>556856.42608</v>
      </c>
      <c r="K43" s="15">
        <f t="shared" si="14"/>
        <v>12.706654483388098</v>
      </c>
      <c r="L43" s="16">
        <f t="shared" si="15"/>
        <v>6.6180492100979676E-3</v>
      </c>
      <c r="M43" s="16">
        <f t="shared" si="16"/>
        <v>6.6180492100979676E-3</v>
      </c>
    </row>
    <row r="44" spans="2:17" s="18" customFormat="1" x14ac:dyDescent="0.25">
      <c r="B44" s="18">
        <f t="shared" si="7"/>
        <v>2865</v>
      </c>
      <c r="C44" s="18">
        <f>_xlfn.CEILING.MATH(B24/Sheet1!$M$5)</f>
        <v>36</v>
      </c>
      <c r="D44" s="18">
        <f t="shared" si="8"/>
        <v>3</v>
      </c>
      <c r="E44" s="15">
        <f t="shared" si="8"/>
        <v>20497.68</v>
      </c>
      <c r="F44" s="15">
        <f t="shared" si="9"/>
        <v>2749.2435999999998</v>
      </c>
      <c r="G44" s="15">
        <f t="shared" si="10"/>
        <v>526450</v>
      </c>
      <c r="H44" s="15">
        <f t="shared" si="11"/>
        <v>17701.390080000001</v>
      </c>
      <c r="I44" s="15">
        <f t="shared" si="12"/>
        <v>2191.1357600000001</v>
      </c>
      <c r="J44" s="15">
        <f t="shared" si="13"/>
        <v>569589.44944</v>
      </c>
      <c r="K44" s="15">
        <f t="shared" si="14"/>
        <v>12.997203574297188</v>
      </c>
      <c r="L44" s="16">
        <f t="shared" si="15"/>
        <v>4.5129179077420794E-3</v>
      </c>
      <c r="M44" s="16">
        <f t="shared" si="16"/>
        <v>4.5129179077420794E-3</v>
      </c>
    </row>
    <row r="45" spans="2:17" x14ac:dyDescent="0.25">
      <c r="B45" s="18">
        <f t="shared" si="7"/>
        <v>3840</v>
      </c>
      <c r="C45" s="18">
        <f>_xlfn.CEILING.MATH(B25/Sheet1!$M$5)</f>
        <v>48</v>
      </c>
      <c r="D45" s="18">
        <f t="shared" si="8"/>
        <v>4</v>
      </c>
      <c r="E45" s="15">
        <f t="shared" si="8"/>
        <v>27330.239999999998</v>
      </c>
      <c r="F45" s="15">
        <f t="shared" si="9"/>
        <v>2749.2435999999998</v>
      </c>
      <c r="G45" s="15">
        <f t="shared" si="10"/>
        <v>526450</v>
      </c>
      <c r="H45" s="15">
        <f t="shared" si="11"/>
        <v>23601.853440000003</v>
      </c>
      <c r="I45" s="15">
        <f t="shared" si="12"/>
        <v>2191.1357600000001</v>
      </c>
      <c r="J45" s="15">
        <f t="shared" si="13"/>
        <v>582322.47279999999</v>
      </c>
      <c r="K45" s="15">
        <f t="shared" si="14"/>
        <v>13.287752665206279</v>
      </c>
      <c r="L45" s="16">
        <f t="shared" si="15"/>
        <v>3.4603522565641353E-3</v>
      </c>
      <c r="M45" s="16">
        <f t="shared" si="16"/>
        <v>3.4603522565641353E-3</v>
      </c>
    </row>
    <row r="46" spans="2:17" x14ac:dyDescent="0.25">
      <c r="B46" s="18">
        <f t="shared" si="7"/>
        <v>55675</v>
      </c>
      <c r="C46" s="18">
        <f>_xlfn.CEILING.MATH(B26/Sheet1!$M$5)</f>
        <v>696</v>
      </c>
      <c r="D46" s="18">
        <f t="shared" si="8"/>
        <v>58</v>
      </c>
      <c r="E46" s="15">
        <f t="shared" si="8"/>
        <v>396288.48</v>
      </c>
      <c r="F46" s="15">
        <f t="shared" si="9"/>
        <v>4090.2579999999998</v>
      </c>
      <c r="G46" s="15">
        <f t="shared" si="10"/>
        <v>526450</v>
      </c>
      <c r="H46" s="15">
        <f t="shared" si="11"/>
        <v>342226.87488000002</v>
      </c>
      <c r="I46" s="15">
        <f t="shared" si="12"/>
        <v>4382.2715200000002</v>
      </c>
      <c r="J46" s="15">
        <f t="shared" si="13"/>
        <v>1273437.8843999999</v>
      </c>
      <c r="K46" s="15">
        <f t="shared" si="14"/>
        <v>29.05800210843373</v>
      </c>
      <c r="L46" s="16">
        <f t="shared" si="15"/>
        <v>5.2187503786698503E-4</v>
      </c>
      <c r="M46" s="16">
        <f t="shared" si="16"/>
        <v>5.2187503786698503E-4</v>
      </c>
    </row>
  </sheetData>
  <mergeCells count="2">
    <mergeCell ref="E14:F14"/>
    <mergeCell ref="K14:L1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S45"/>
  <sheetViews>
    <sheetView topLeftCell="A15" zoomScale="70" zoomScaleNormal="70" workbookViewId="0">
      <selection activeCell="A27" sqref="A27"/>
    </sheetView>
  </sheetViews>
  <sheetFormatPr defaultRowHeight="15" x14ac:dyDescent="0.25"/>
  <cols>
    <col min="1" max="1" width="9.140625" style="2"/>
    <col min="2" max="2" width="18" style="2" customWidth="1"/>
    <col min="3" max="3" width="29.7109375" style="2" customWidth="1"/>
    <col min="4" max="4" width="14.85546875" style="2" customWidth="1"/>
    <col min="5" max="5" width="27.28515625" style="2" customWidth="1"/>
    <col min="6" max="6" width="15.5703125" style="2" customWidth="1"/>
    <col min="7" max="7" width="11.5703125" style="2" bestFit="1" customWidth="1"/>
    <col min="8" max="8" width="12.7109375" style="2" bestFit="1" customWidth="1"/>
    <col min="9" max="9" width="10.140625" style="2" bestFit="1" customWidth="1"/>
    <col min="10" max="10" width="12.7109375" style="2" bestFit="1" customWidth="1"/>
    <col min="11" max="11" width="9.28515625" style="2" bestFit="1" customWidth="1"/>
    <col min="12" max="12" width="10.5703125" style="2" bestFit="1" customWidth="1"/>
    <col min="13" max="13" width="13.85546875" style="2" bestFit="1" customWidth="1"/>
    <col min="14" max="14" width="9.140625" style="2"/>
    <col min="15" max="15" width="11.5703125" style="2" bestFit="1" customWidth="1"/>
    <col min="16" max="16" width="23.140625" style="2" customWidth="1"/>
    <col min="17" max="17" width="13.85546875" style="2" bestFit="1" customWidth="1"/>
    <col min="18" max="16384" width="9.140625" style="2"/>
  </cols>
  <sheetData>
    <row r="1" spans="2:17" ht="45" x14ac:dyDescent="0.25">
      <c r="B1" s="2" t="s">
        <v>28</v>
      </c>
    </row>
    <row r="3" spans="2:17" ht="45" x14ac:dyDescent="0.25">
      <c r="B3" s="2" t="s">
        <v>27</v>
      </c>
      <c r="C3" s="2" t="s">
        <v>33</v>
      </c>
      <c r="D3" s="2" t="s">
        <v>30</v>
      </c>
      <c r="E3" s="2" t="s">
        <v>31</v>
      </c>
      <c r="F3" s="2" t="s">
        <v>32</v>
      </c>
      <c r="G3" s="3" t="s">
        <v>89</v>
      </c>
    </row>
    <row r="4" spans="2:17" ht="30" x14ac:dyDescent="0.25">
      <c r="B4" s="2" t="s">
        <v>40</v>
      </c>
      <c r="C4" s="2" t="str">
        <f>PrCloudQty!E2</f>
        <v>NORCO RPC-170 Black 1U Rackmount Server Chassis</v>
      </c>
      <c r="D4" s="2">
        <v>1</v>
      </c>
      <c r="E4" s="8">
        <f>_xlfn.IFNA(VLOOKUP(TEXT(C4,"text"),Prices!$B$2:$C$300,2,FALSE),0)</f>
        <v>96.84</v>
      </c>
      <c r="F4" s="2">
        <f t="shared" ref="F4:F9" si="0">_xlfn.IFNA(D4*E4,0)</f>
        <v>96.84</v>
      </c>
      <c r="G4" s="3">
        <f>_xlfn.IFNA(VLOOKUP(TEXT(C4,"text"),Prices!$B$2:$D$300,3,FALSE)*D4,0)</f>
        <v>10</v>
      </c>
    </row>
    <row r="5" spans="2:17" ht="60" x14ac:dyDescent="0.25">
      <c r="B5" s="2" t="s">
        <v>26</v>
      </c>
      <c r="C5" s="2" t="str">
        <f>PrCloudDet!E2</f>
        <v>Intel Xeon E5-2680 v2 Ivy Bridge-EP 2.8 GHz 25MB L3 Cache LGA 2011 115W BX80635E52680V2 Server Processor</v>
      </c>
      <c r="D5" s="2">
        <f>PrCloudQty!E4</f>
        <v>2</v>
      </c>
      <c r="E5" s="8">
        <f>_xlfn.IFNA(VLOOKUP(TEXT(C5,"text"),Prices!$B$2:$C$300,2,FALSE),0)</f>
        <v>1769.99</v>
      </c>
      <c r="F5" s="3">
        <f t="shared" si="0"/>
        <v>3539.98</v>
      </c>
      <c r="G5" s="3">
        <f>_xlfn.IFNA(VLOOKUP(TEXT(C5,"text"),Prices!$B$2:$D$300,3,FALSE)*D5,0)</f>
        <v>230</v>
      </c>
    </row>
    <row r="6" spans="2:17" ht="75" x14ac:dyDescent="0.25">
      <c r="B6" s="2" t="s">
        <v>29</v>
      </c>
      <c r="C6" s="2" t="str">
        <f>PrCloudQty!E5</f>
        <v>Kingston 64GB (4 x 16GB) 288-Pin DDR4 SDRAM ECC Registered DDR4 2133 (PC4 17000) Server Memory Model KVR21R15D4K4/64</v>
      </c>
      <c r="D6" s="2">
        <f>PrCloudQty!E6</f>
        <v>1</v>
      </c>
      <c r="E6" s="8">
        <f>_xlfn.IFNA(VLOOKUP(TEXT(C6,"text"),Prices!$B$2:$C$300,2,FALSE),0)</f>
        <v>365.99</v>
      </c>
      <c r="F6" s="3">
        <f t="shared" si="0"/>
        <v>365.99</v>
      </c>
      <c r="G6" s="3">
        <f>_xlfn.IFNA(VLOOKUP(TEXT(C6,"text"),Prices!$B$2:$D$300,3,FALSE)*D6,0)</f>
        <v>20</v>
      </c>
    </row>
    <row r="7" spans="2:17" ht="45" x14ac:dyDescent="0.25">
      <c r="B7" s="2" t="s">
        <v>37</v>
      </c>
      <c r="C7" s="2" t="str">
        <f>PrCloudQty!E7</f>
        <v>GIGABYTE MD80-TM0 E-ATX / SSI EEB Server Motherboard Dual LGA 2011-3 Intel C612</v>
      </c>
      <c r="D7" s="2">
        <v>1</v>
      </c>
      <c r="E7" s="8">
        <f>_xlfn.IFNA(VLOOKUP(TEXT(C7,"text"),Prices!$B$2:$C$300,2,FALSE),0)</f>
        <v>659.99</v>
      </c>
      <c r="F7" s="3">
        <f t="shared" si="0"/>
        <v>659.99</v>
      </c>
      <c r="G7" s="3">
        <f>_xlfn.IFNA(VLOOKUP(TEXT(C7,"text"),Prices!$B$2:$D$300,3,FALSE)*D7,0)</f>
        <v>25</v>
      </c>
    </row>
    <row r="8" spans="2:17" ht="45" x14ac:dyDescent="0.25">
      <c r="B8" s="2" t="s">
        <v>34</v>
      </c>
      <c r="C8" s="2" t="str">
        <f>PrCloudQty!E8</f>
        <v>Black Diamond Memory Sonic Series BDSSDS1T 2.5" 1TB SATA III TLC Internal Solid State Drive</v>
      </c>
      <c r="D8" s="2">
        <f>PrCloudQty!E9</f>
        <v>1</v>
      </c>
      <c r="E8" s="8">
        <f>_xlfn.IFNA(VLOOKUP(TEXT(C8,"text"),Prices!$B$2:$C$300,2,FALSE),0)</f>
        <v>259.99</v>
      </c>
      <c r="F8" s="3">
        <f t="shared" si="0"/>
        <v>259.99</v>
      </c>
      <c r="G8" s="3">
        <f>_xlfn.IFNA(VLOOKUP(TEXT(C8,"text"),Prices!$B$2:$D$300,3,FALSE)*D8,0)</f>
        <v>25</v>
      </c>
    </row>
    <row r="9" spans="2:17" x14ac:dyDescent="0.25">
      <c r="B9" s="2" t="s">
        <v>35</v>
      </c>
      <c r="E9" s="8">
        <f>_xlfn.IFNA(VLOOKUP(TEXT(C9,"text"),Prices!$B$2:$C$300,2,FALSE),0)</f>
        <v>0</v>
      </c>
      <c r="F9" s="3">
        <f t="shared" si="0"/>
        <v>0</v>
      </c>
      <c r="G9" s="3">
        <f>_xlfn.IFNA(VLOOKUP(TEXT(C9,"text"),Prices!$B$2:$D$300,3,FALSE)*D9,0)</f>
        <v>0</v>
      </c>
    </row>
    <row r="10" spans="2:17" s="7" customFormat="1" x14ac:dyDescent="0.25"/>
    <row r="11" spans="2:17" s="8" customFormat="1" x14ac:dyDescent="0.25">
      <c r="F11" s="8">
        <f>SUM(F4:F10)</f>
        <v>4922.79</v>
      </c>
      <c r="G11" s="8">
        <f>SUM(G4:G10)</f>
        <v>310</v>
      </c>
    </row>
    <row r="12" spans="2:17" s="8" customFormat="1" x14ac:dyDescent="0.25"/>
    <row r="13" spans="2:17" s="10" customFormat="1" x14ac:dyDescent="0.25"/>
    <row r="14" spans="2:17" s="10" customFormat="1" ht="33.75" customHeight="1" x14ac:dyDescent="0.25">
      <c r="E14" s="19" t="str">
        <f>PrCloudQty!B19</f>
        <v>NETGEAR ProSAFE XS728T 28-Port 10-Gigabit Ethernet Smart Managed Switch (XS728T) - Lifetime Warranty</v>
      </c>
      <c r="F14" s="19"/>
      <c r="G14" s="10" t="s">
        <v>105</v>
      </c>
      <c r="I14" s="10" t="s">
        <v>39</v>
      </c>
      <c r="J14" s="10" t="s">
        <v>105</v>
      </c>
      <c r="K14" s="19" t="str">
        <f>PrCloudQty!B15</f>
        <v>APC AR3300 42U NetShelter SX 600mm Wide x 1200mm Deep Enclosure</v>
      </c>
      <c r="L14" s="19"/>
      <c r="M14" s="10" t="s">
        <v>105</v>
      </c>
    </row>
    <row r="15" spans="2:17" s="10" customFormat="1" ht="60" x14ac:dyDescent="0.25">
      <c r="B15" s="10" t="s">
        <v>97</v>
      </c>
      <c r="C15" s="10" t="s">
        <v>98</v>
      </c>
      <c r="D15" s="10" t="s">
        <v>99</v>
      </c>
      <c r="E15" s="10" t="s">
        <v>102</v>
      </c>
      <c r="F15" s="10" t="s">
        <v>100</v>
      </c>
      <c r="G15" s="10" t="s">
        <v>103</v>
      </c>
      <c r="H15" s="10" t="s">
        <v>122</v>
      </c>
      <c r="I15" s="10" t="s">
        <v>101</v>
      </c>
      <c r="J15" s="10" t="s">
        <v>104</v>
      </c>
      <c r="K15" s="10" t="s">
        <v>79</v>
      </c>
      <c r="L15" s="10" t="s">
        <v>106</v>
      </c>
      <c r="M15" s="10" t="s">
        <v>107</v>
      </c>
      <c r="N15" s="10" t="s">
        <v>108</v>
      </c>
      <c r="O15" s="10" t="s">
        <v>109</v>
      </c>
      <c r="P15" s="10" t="s">
        <v>110</v>
      </c>
    </row>
    <row r="16" spans="2:17" s="10" customFormat="1" x14ac:dyDescent="0.25">
      <c r="B16" s="10">
        <v>1</v>
      </c>
      <c r="C16" s="14">
        <f>_xlfn.CEILING.MATH(_xlfn.CEILING.MATH(B16/Sheet1!$M$6)/PrCloudDet!$E$12)</f>
        <v>1</v>
      </c>
      <c r="D16" s="10">
        <f>$F$11*C16</f>
        <v>4922.79</v>
      </c>
      <c r="E16" s="12">
        <f t="shared" ref="E16:E22" si="1">_xlfn.CEILING.MATH((C16+(IF(_xlfn.CEILING.MATH(C16/28)&lt;=1,_xlfn.CEILING.MATH(C16/28),((_xlfn.CEILING.MATH(C16/28))*(_xlfn.CEILING.MATH(C16/28)-1))/2)))/28)</f>
        <v>1</v>
      </c>
      <c r="F16" s="10">
        <f>_xlfn.IFNA(VLOOKUP($E$14,Prices!$B$2:$D$50,2,FALSE),0)*E16</f>
        <v>2413.9899999999998</v>
      </c>
      <c r="G16" s="10">
        <f>(((_xlfn.IFNA(VLOOKUP($E$14,Prices!$B$2:$D$50,3,FALSE),0)*E16)*24*1826)/1000)*(_xlfn.IFNA(VLOOKUP($G$14,Prices!$B$2:$D$50,2,FALSE),0))*2</f>
        <v>335.25359999999995</v>
      </c>
      <c r="H16" s="10">
        <f>_xlfn.CEILING.MATH(C16/1000)</f>
        <v>1</v>
      </c>
      <c r="I16" s="10">
        <f>_xlfn.IFNA(VLOOKUP($I$14,Prices!$B$2:$D$50,2,FALSE),0)*H16</f>
        <v>526450</v>
      </c>
      <c r="J16" s="10">
        <f>(($G$11*24*1826)/1000)*(_xlfn.IFNA(VLOOKUP($J$14,Prices!$B$2:$D$50,2,FALSE),0))*C16*2</f>
        <v>4157.1446400000004</v>
      </c>
      <c r="K16" s="10">
        <f t="shared" ref="K16:K22" si="2">_xlfn.CEILING.MATH(C16/42)</f>
        <v>1</v>
      </c>
      <c r="L16" s="10">
        <f>_xlfn.IFNA(VLOOKUP($K$14,Prices!$B$2:$D$50,2,FALSE),0)*K16</f>
        <v>1654.73</v>
      </c>
      <c r="M16" s="10">
        <f>(((_xlfn.IFNA(VLOOKUP($K$14,Prices!$B$2:$D$50,3,FALSE),0)*K16)*24*1826)/1000)*(_xlfn.IFNA(VLOOKUP($M$14,Prices!$B$2:$D$50,2,FALSE),0))*2</f>
        <v>536.40575999999999</v>
      </c>
      <c r="N16" s="10">
        <f t="shared" ref="N16:N22" si="3">D16+F16+G16+I16+J16+L16+M16</f>
        <v>540470.3139999999</v>
      </c>
      <c r="O16" s="10">
        <f>N16/1826/24</f>
        <v>12.332747216137273</v>
      </c>
      <c r="P16" s="10">
        <f>O16/(C16*PrCloudDet!$E$11)</f>
        <v>2.294037800620773E-2</v>
      </c>
      <c r="Q16" s="18">
        <f>O16/(Sheet1!$M$6*C36)</f>
        <v>3.4410567009311589E-2</v>
      </c>
    </row>
    <row r="17" spans="2:19" s="10" customFormat="1" x14ac:dyDescent="0.25">
      <c r="B17" s="10">
        <v>10</v>
      </c>
      <c r="C17" s="14">
        <f>_xlfn.CEILING.MATH(_xlfn.CEILING.MATH(B17/Sheet1!$M$6)/PrCloudDet!$E$12)</f>
        <v>1</v>
      </c>
      <c r="D17" s="10">
        <f t="shared" ref="D17:D22" si="4">$F$11*C17</f>
        <v>4922.79</v>
      </c>
      <c r="E17" s="12">
        <f t="shared" si="1"/>
        <v>1</v>
      </c>
      <c r="F17" s="10">
        <f>_xlfn.IFNA(VLOOKUP($E$14,Prices!$B$2:$D$50,2,FALSE),0)</f>
        <v>2413.9899999999998</v>
      </c>
      <c r="G17" s="10">
        <f>(((_xlfn.IFNA(VLOOKUP($E$14,Prices!$B$2:$D$50,3,FALSE),0)*E17)*24*1826)/1000)*(_xlfn.IFNA(VLOOKUP($G$14,Prices!$B$2:$D$50,2,FALSE),0))*2</f>
        <v>335.25359999999995</v>
      </c>
      <c r="H17" s="10">
        <f t="shared" ref="H17:H22" si="5">_xlfn.CEILING.MATH(C17/1000)</f>
        <v>1</v>
      </c>
      <c r="I17" s="10">
        <f>_xlfn.IFNA(VLOOKUP($I$14,Prices!$B$2:$D$50,2,FALSE),0)*H17</f>
        <v>526450</v>
      </c>
      <c r="J17" s="10">
        <f>(($G$11*24*1826)/1000)*(_xlfn.IFNA(VLOOKUP($J$14,Prices!$B$2:$D$50,2,FALSE),0))*C17*2</f>
        <v>4157.1446400000004</v>
      </c>
      <c r="K17" s="10">
        <f t="shared" si="2"/>
        <v>1</v>
      </c>
      <c r="L17" s="10">
        <f>_xlfn.IFNA(VLOOKUP($K$14,Prices!$B$2:$D$50,2,FALSE),0)*K17</f>
        <v>1654.73</v>
      </c>
      <c r="M17" s="10">
        <f>(((_xlfn.IFNA(VLOOKUP($K$14,Prices!$B$2:$D$50,3,FALSE),0)*K17)*24*1826)/1000)*(_xlfn.IFNA(VLOOKUP($M$14,Prices!$B$2:$D$50,2,FALSE),0))*2</f>
        <v>536.40575999999999</v>
      </c>
      <c r="N17" s="10">
        <f t="shared" si="3"/>
        <v>540470.3139999999</v>
      </c>
      <c r="O17" s="10">
        <f t="shared" ref="O17:O22" si="6">N17/1826/24</f>
        <v>12.332747216137273</v>
      </c>
      <c r="P17" s="10">
        <f>O17/(C17*PrCloudDet!$E$11)</f>
        <v>2.294037800620773E-2</v>
      </c>
      <c r="Q17" s="18">
        <f>O17/(Sheet1!$M$6*C37)</f>
        <v>3.4410567009311589E-2</v>
      </c>
    </row>
    <row r="18" spans="2:19" s="10" customFormat="1" x14ac:dyDescent="0.25">
      <c r="B18" s="10">
        <v>100</v>
      </c>
      <c r="C18" s="14">
        <f>_xlfn.CEILING.MATH(_xlfn.CEILING.MATH(B18/Sheet1!$M$6)/PrCloudDet!$E$12)</f>
        <v>1</v>
      </c>
      <c r="D18" s="10">
        <f t="shared" si="4"/>
        <v>4922.79</v>
      </c>
      <c r="E18" s="12">
        <f t="shared" si="1"/>
        <v>1</v>
      </c>
      <c r="F18" s="10">
        <f>_xlfn.IFNA(VLOOKUP($E$14,Prices!$B$2:$D$50,2,FALSE),0)</f>
        <v>2413.9899999999998</v>
      </c>
      <c r="G18" s="10">
        <f>(((_xlfn.IFNA(VLOOKUP($E$14,Prices!$B$2:$D$50,3,FALSE),0)*E18)*24*1826)/1000)*(_xlfn.IFNA(VLOOKUP($G$14,Prices!$B$2:$D$50,2,FALSE),0))*2</f>
        <v>335.25359999999995</v>
      </c>
      <c r="H18" s="10">
        <f t="shared" si="5"/>
        <v>1</v>
      </c>
      <c r="I18" s="10">
        <f>_xlfn.IFNA(VLOOKUP($I$14,Prices!$B$2:$D$50,2,FALSE),0)*H18</f>
        <v>526450</v>
      </c>
      <c r="J18" s="10">
        <f>(($G$11*24*1826)/1000)*(_xlfn.IFNA(VLOOKUP($J$14,Prices!$B$2:$D$50,2,FALSE),0))*C18*2</f>
        <v>4157.1446400000004</v>
      </c>
      <c r="K18" s="10">
        <f t="shared" si="2"/>
        <v>1</v>
      </c>
      <c r="L18" s="10">
        <f>_xlfn.IFNA(VLOOKUP($K$14,Prices!$B$2:$D$50,2,FALSE),0)*K18</f>
        <v>1654.73</v>
      </c>
      <c r="M18" s="10">
        <f>(((_xlfn.IFNA(VLOOKUP($K$14,Prices!$B$2:$D$50,3,FALSE),0)*K18)*24*1826)/1000)*(_xlfn.IFNA(VLOOKUP($M$14,Prices!$B$2:$D$50,2,FALSE),0))*2</f>
        <v>536.40575999999999</v>
      </c>
      <c r="N18" s="10">
        <f t="shared" si="3"/>
        <v>540470.3139999999</v>
      </c>
      <c r="O18" s="10">
        <f t="shared" si="6"/>
        <v>12.332747216137273</v>
      </c>
      <c r="P18" s="10">
        <f>O18/(C18*PrCloudDet!$E$11)</f>
        <v>2.294037800620773E-2</v>
      </c>
      <c r="Q18" s="18">
        <f>O18/(Sheet1!$M$6*C38)</f>
        <v>3.4410567009311589E-2</v>
      </c>
    </row>
    <row r="19" spans="2:19" s="10" customFormat="1" x14ac:dyDescent="0.25">
      <c r="B19" s="10">
        <v>1000</v>
      </c>
      <c r="C19" s="14">
        <f>_xlfn.CEILING.MATH(_xlfn.CEILING.MATH(B19/Sheet1!$M$6)/PrCloudDet!$E$12)</f>
        <v>3</v>
      </c>
      <c r="D19" s="10">
        <f t="shared" si="4"/>
        <v>14768.369999999999</v>
      </c>
      <c r="E19" s="12">
        <f t="shared" si="1"/>
        <v>1</v>
      </c>
      <c r="F19" s="10">
        <f>_xlfn.IFNA(VLOOKUP($E$14,Prices!$B$2:$D$50,2,FALSE),0)</f>
        <v>2413.9899999999998</v>
      </c>
      <c r="G19" s="10">
        <f>(((_xlfn.IFNA(VLOOKUP($E$14,Prices!$B$2:$D$50,3,FALSE),0)*E19)*24*1826)/1000)*(_xlfn.IFNA(VLOOKUP($G$14,Prices!$B$2:$D$50,2,FALSE),0))*2</f>
        <v>335.25359999999995</v>
      </c>
      <c r="H19" s="10">
        <f t="shared" si="5"/>
        <v>1</v>
      </c>
      <c r="I19" s="10">
        <f>_xlfn.IFNA(VLOOKUP($I$14,Prices!$B$2:$D$50,2,FALSE),0)*H19</f>
        <v>526450</v>
      </c>
      <c r="J19" s="10">
        <f>(($G$11*24*1826)/1000)*(_xlfn.IFNA(VLOOKUP($J$14,Prices!$B$2:$D$50,2,FALSE),0))*C19*2</f>
        <v>12471.433920000001</v>
      </c>
      <c r="K19" s="10">
        <f t="shared" si="2"/>
        <v>1</v>
      </c>
      <c r="L19" s="10">
        <f>_xlfn.IFNA(VLOOKUP($K$14,Prices!$B$2:$D$50,2,FALSE),0)*K19</f>
        <v>1654.73</v>
      </c>
      <c r="M19" s="10">
        <f>(((_xlfn.IFNA(VLOOKUP($K$14,Prices!$B$2:$D$50,3,FALSE),0)*K19)*24*1826)/1000)*(_xlfn.IFNA(VLOOKUP($M$14,Prices!$B$2:$D$50,2,FALSE),0))*2</f>
        <v>536.40575999999999</v>
      </c>
      <c r="N19" s="10">
        <f t="shared" si="3"/>
        <v>558630.18328</v>
      </c>
      <c r="O19" s="10">
        <f t="shared" si="6"/>
        <v>12.747129045271997</v>
      </c>
      <c r="P19" s="10">
        <f>O19/(C19*PrCloudDet!$E$11)</f>
        <v>7.9037258465228175E-3</v>
      </c>
      <c r="Q19" s="18">
        <f>O19/(Sheet1!$M$6*C39)</f>
        <v>1.1855588769784226E-2</v>
      </c>
    </row>
    <row r="20" spans="2:19" s="10" customFormat="1" x14ac:dyDescent="0.25">
      <c r="B20" s="10">
        <v>10000</v>
      </c>
      <c r="C20" s="14">
        <f>_xlfn.CEILING.MATH(_xlfn.CEILING.MATH(B20/Sheet1!$M$6)/PrCloudDet!$E$12)</f>
        <v>28</v>
      </c>
      <c r="D20" s="10">
        <f t="shared" si="4"/>
        <v>137838.12</v>
      </c>
      <c r="E20" s="12">
        <f t="shared" si="1"/>
        <v>2</v>
      </c>
      <c r="F20" s="10">
        <f>_xlfn.IFNA(VLOOKUP($E$14,Prices!$B$2:$D$50,2,FALSE),0)</f>
        <v>2413.9899999999998</v>
      </c>
      <c r="G20" s="10">
        <f>(((_xlfn.IFNA(VLOOKUP($E$14,Prices!$B$2:$D$50,3,FALSE),0)*E20)*24*1826)/1000)*(_xlfn.IFNA(VLOOKUP($G$14,Prices!$B$2:$D$50,2,FALSE),0))*2</f>
        <v>670.5071999999999</v>
      </c>
      <c r="H20" s="10">
        <f t="shared" si="5"/>
        <v>1</v>
      </c>
      <c r="I20" s="10">
        <f>_xlfn.IFNA(VLOOKUP($I$14,Prices!$B$2:$D$50,2,FALSE),0)*H20</f>
        <v>526450</v>
      </c>
      <c r="J20" s="10">
        <f>(($G$11*24*1826)/1000)*(_xlfn.IFNA(VLOOKUP($J$14,Prices!$B$2:$D$50,2,FALSE),0))*C20*2</f>
        <v>116400.04992000002</v>
      </c>
      <c r="K20" s="10">
        <f t="shared" si="2"/>
        <v>1</v>
      </c>
      <c r="L20" s="10">
        <f>_xlfn.IFNA(VLOOKUP($K$14,Prices!$B$2:$D$50,2,FALSE),0)*K20</f>
        <v>1654.73</v>
      </c>
      <c r="M20" s="10">
        <f>(((_xlfn.IFNA(VLOOKUP($K$14,Prices!$B$2:$D$50,3,FALSE),0)*K20)*24*1826)/1000)*(_xlfn.IFNA(VLOOKUP($M$14,Prices!$B$2:$D$50,2,FALSE),0))*2</f>
        <v>536.40575999999999</v>
      </c>
      <c r="N20" s="10">
        <f t="shared" si="3"/>
        <v>785963.80287999997</v>
      </c>
      <c r="O20" s="10">
        <f t="shared" si="6"/>
        <v>17.934551909456005</v>
      </c>
      <c r="P20" s="10">
        <f>O20/(C20*PrCloudDet!$E$11)</f>
        <v>1.1914429149032743E-3</v>
      </c>
      <c r="Q20" s="18">
        <f>O20/(Sheet1!$M$6*C40)</f>
        <v>1.7871643723549114E-3</v>
      </c>
    </row>
    <row r="21" spans="2:19" s="10" customFormat="1" x14ac:dyDescent="0.25">
      <c r="B21" s="10">
        <v>100000</v>
      </c>
      <c r="C21" s="14">
        <f>_xlfn.CEILING.MATH(_xlfn.CEILING.MATH(B21/Sheet1!$M$6)/PrCloudDet!$E$12)</f>
        <v>280</v>
      </c>
      <c r="D21" s="10">
        <f t="shared" si="4"/>
        <v>1378381.2</v>
      </c>
      <c r="E21" s="12">
        <f t="shared" si="1"/>
        <v>12</v>
      </c>
      <c r="F21" s="10">
        <f>_xlfn.IFNA(VLOOKUP($E$14,Prices!$B$2:$D$50,2,FALSE),0)</f>
        <v>2413.9899999999998</v>
      </c>
      <c r="G21" s="10">
        <f>(((_xlfn.IFNA(VLOOKUP($E$14,Prices!$B$2:$D$50,3,FALSE),0)*E21)*24*1826)/1000)*(_xlfn.IFNA(VLOOKUP($G$14,Prices!$B$2:$D$50,2,FALSE),0))*2</f>
        <v>4023.0432000000001</v>
      </c>
      <c r="H21" s="10">
        <f t="shared" si="5"/>
        <v>1</v>
      </c>
      <c r="I21" s="10">
        <f>_xlfn.IFNA(VLOOKUP($I$14,Prices!$B$2:$D$50,2,FALSE),0)*H21</f>
        <v>526450</v>
      </c>
      <c r="J21" s="10">
        <f>(($G$11*24*1826)/1000)*(_xlfn.IFNA(VLOOKUP($J$14,Prices!$B$2:$D$50,2,FALSE),0))*C21*2</f>
        <v>1164000.4992000002</v>
      </c>
      <c r="K21" s="10">
        <f t="shared" si="2"/>
        <v>7</v>
      </c>
      <c r="L21" s="10">
        <f>_xlfn.IFNA(VLOOKUP($K$14,Prices!$B$2:$D$50,2,FALSE),0)*K21</f>
        <v>11583.11</v>
      </c>
      <c r="M21" s="10">
        <f>(((_xlfn.IFNA(VLOOKUP($K$14,Prices!$B$2:$D$50,3,FALSE),0)*K21)*24*1826)/1000)*(_xlfn.IFNA(VLOOKUP($M$14,Prices!$B$2:$D$50,2,FALSE),0))*2</f>
        <v>3754.8403199999998</v>
      </c>
      <c r="N21" s="10">
        <f t="shared" si="3"/>
        <v>3090606.6827199999</v>
      </c>
      <c r="O21" s="10">
        <f t="shared" si="6"/>
        <v>70.523153585250085</v>
      </c>
      <c r="P21" s="10">
        <f>O21/(C21*PrCloudDet!$E$11)</f>
        <v>4.6850521886459726E-4</v>
      </c>
      <c r="Q21" s="18">
        <f>O21/(Sheet1!$M$6*C41)</f>
        <v>7.0275782829689573E-4</v>
      </c>
    </row>
    <row r="22" spans="2:19" s="10" customFormat="1" x14ac:dyDescent="0.25">
      <c r="B22" s="10">
        <v>1000000</v>
      </c>
      <c r="C22" s="14">
        <f>_xlfn.CEILING.MATH(_xlfn.CEILING.MATH(B22/Sheet1!$M$6)/PrCloudDet!$E$12)</f>
        <v>2791</v>
      </c>
      <c r="D22" s="10">
        <f t="shared" si="4"/>
        <v>13739506.890000001</v>
      </c>
      <c r="E22" s="12">
        <f t="shared" si="1"/>
        <v>277</v>
      </c>
      <c r="F22" s="10">
        <f>_xlfn.IFNA(VLOOKUP($E$14,Prices!$B$2:$D$50,2,FALSE),0)</f>
        <v>2413.9899999999998</v>
      </c>
      <c r="G22" s="10">
        <f>(((_xlfn.IFNA(VLOOKUP($E$14,Prices!$B$2:$D$50,3,FALSE),0)*E22)*24*1826)/1000)*(_xlfn.IFNA(VLOOKUP($G$14,Prices!$B$2:$D$50,2,FALSE),0))*2</f>
        <v>92865.247199999998</v>
      </c>
      <c r="H22" s="10">
        <f t="shared" si="5"/>
        <v>3</v>
      </c>
      <c r="I22" s="10">
        <f>_xlfn.IFNA(VLOOKUP($I$14,Prices!$B$2:$D$50,2,FALSE),0)*H22</f>
        <v>1579350</v>
      </c>
      <c r="J22" s="10">
        <f>(($G$11*24*1826)/1000)*(_xlfn.IFNA(VLOOKUP($J$14,Prices!$B$2:$D$50,2,FALSE),0))*C22*2</f>
        <v>11602590.690240001</v>
      </c>
      <c r="K22" s="10">
        <f t="shared" si="2"/>
        <v>67</v>
      </c>
      <c r="L22" s="10">
        <f>_xlfn.IFNA(VLOOKUP($K$14,Prices!$B$2:$D$50,2,FALSE),0)*K22</f>
        <v>110866.91</v>
      </c>
      <c r="M22" s="10">
        <f>(((_xlfn.IFNA(VLOOKUP($K$14,Prices!$B$2:$D$50,3,FALSE),0)*K22)*24*1826)/1000)*(_xlfn.IFNA(VLOOKUP($M$14,Prices!$B$2:$D$50,2,FALSE),0))*2</f>
        <v>35939.185920000004</v>
      </c>
      <c r="N22" s="10">
        <f t="shared" si="3"/>
        <v>27163532.913360003</v>
      </c>
      <c r="O22" s="10">
        <f t="shared" si="6"/>
        <v>619.83235015881712</v>
      </c>
      <c r="P22" s="10">
        <f>O22/(C22*PrCloudDet!$E$11)</f>
        <v>4.1309995014722142E-4</v>
      </c>
      <c r="Q22" s="18">
        <f>O22/(Sheet1!$M$6*C42)</f>
        <v>6.1964992522083213E-4</v>
      </c>
    </row>
    <row r="23" spans="2:19" s="8" customFormat="1" x14ac:dyDescent="0.25">
      <c r="B23" s="8">
        <v>2865</v>
      </c>
      <c r="C23" s="18">
        <f>_xlfn.CEILING.MATH(_xlfn.CEILING.MATH(B23/Sheet1!$M$6)/PrCloudDet!$E$12)</f>
        <v>8</v>
      </c>
      <c r="D23" s="18">
        <f>$F$11*C23</f>
        <v>39382.32</v>
      </c>
      <c r="E23" s="18">
        <f>_xlfn.CEILING.MATH((C23+(IF(_xlfn.CEILING.MATH(C23/28)&lt;=1,_xlfn.CEILING.MATH(C23/28),((_xlfn.CEILING.MATH(C23/28))*(_xlfn.CEILING.MATH(C23/28)-1))/2)))/28)</f>
        <v>1</v>
      </c>
      <c r="F23" s="18">
        <f>_xlfn.IFNA(VLOOKUP($E$14,Prices!$B$2:$D$50,2,FALSE),0)</f>
        <v>2413.9899999999998</v>
      </c>
      <c r="G23" s="18">
        <f>(((_xlfn.IFNA(VLOOKUP($E$14,Prices!$B$2:$D$50,3,FALSE),0)*E23)*24*1826)/1000)*(_xlfn.IFNA(VLOOKUP($G$14,Prices!$B$2:$D$50,2,FALSE),0))*2</f>
        <v>335.25359999999995</v>
      </c>
      <c r="H23" s="18">
        <f>_xlfn.CEILING.MATH(C23/1000)</f>
        <v>1</v>
      </c>
      <c r="I23" s="18">
        <f>_xlfn.IFNA(VLOOKUP($I$14,Prices!$B$2:$D$50,2,FALSE),0)*H23</f>
        <v>526450</v>
      </c>
      <c r="J23" s="18">
        <f>(($G$11*24*1826)/1000)*(_xlfn.IFNA(VLOOKUP($J$14,Prices!$B$2:$D$50,2,FALSE),0))*C23*2</f>
        <v>33257.157120000003</v>
      </c>
      <c r="K23" s="18">
        <f>_xlfn.CEILING.MATH(C23/42)</f>
        <v>1</v>
      </c>
      <c r="L23" s="18">
        <f>_xlfn.IFNA(VLOOKUP($K$14,Prices!$B$2:$D$50,2,FALSE),0)*K23</f>
        <v>1654.73</v>
      </c>
      <c r="M23" s="18">
        <f>(((_xlfn.IFNA(VLOOKUP($K$14,Prices!$B$2:$D$50,3,FALSE),0)*K23)*24*1826)/1000)*(_xlfn.IFNA(VLOOKUP($M$14,Prices!$B$2:$D$50,2,FALSE),0))*2</f>
        <v>536.40575999999999</v>
      </c>
      <c r="N23" s="18">
        <f>D23+F23+G23+I23+J23+L23+M23</f>
        <v>604029.85647999996</v>
      </c>
      <c r="O23" s="18">
        <f>N23/1826/24</f>
        <v>13.783083618108797</v>
      </c>
      <c r="P23" s="18">
        <f>O23/(C23*PrCloudDet!$E$11)</f>
        <v>3.2047720466212796E-3</v>
      </c>
      <c r="Q23" s="18">
        <f>O23/(Sheet1!$M$6*C43)</f>
        <v>4.8071580699319194E-3</v>
      </c>
      <c r="S23" s="8">
        <v>4.6874999999999998E-3</v>
      </c>
    </row>
    <row r="24" spans="2:19" s="8" customFormat="1" x14ac:dyDescent="0.25">
      <c r="B24" s="8">
        <v>3840</v>
      </c>
      <c r="C24" s="18">
        <f>_xlfn.CEILING.MATH(_xlfn.CEILING.MATH(B24/Sheet1!$M$6)/PrCloudDet!$E$12)</f>
        <v>11</v>
      </c>
      <c r="D24" s="18">
        <f>$F$11*C24</f>
        <v>54150.69</v>
      </c>
      <c r="E24" s="18">
        <f>_xlfn.CEILING.MATH((C24+(IF(_xlfn.CEILING.MATH(C24/28)&lt;=1,_xlfn.CEILING.MATH(C24/28),((_xlfn.CEILING.MATH(C24/28))*(_xlfn.CEILING.MATH(C24/28)-1))/2)))/28)</f>
        <v>1</v>
      </c>
      <c r="F24" s="18">
        <f>_xlfn.IFNA(VLOOKUP($E$14,Prices!$B$2:$D$50,2,FALSE),0)</f>
        <v>2413.9899999999998</v>
      </c>
      <c r="G24" s="18">
        <f>(((_xlfn.IFNA(VLOOKUP($E$14,Prices!$B$2:$D$50,3,FALSE),0)*E24)*24*1826)/1000)*(_xlfn.IFNA(VLOOKUP($G$14,Prices!$B$2:$D$50,2,FALSE),0))*2</f>
        <v>335.25359999999995</v>
      </c>
      <c r="H24" s="18">
        <f>_xlfn.CEILING.MATH(C24/1000)</f>
        <v>1</v>
      </c>
      <c r="I24" s="18">
        <f>_xlfn.IFNA(VLOOKUP($I$14,Prices!$B$2:$D$50,2,FALSE),0)*H24</f>
        <v>526450</v>
      </c>
      <c r="J24" s="18">
        <f>(($G$11*24*1826)/1000)*(_xlfn.IFNA(VLOOKUP($J$14,Prices!$B$2:$D$50,2,FALSE),0))*C24*2</f>
        <v>45728.591040000007</v>
      </c>
      <c r="K24" s="18">
        <f>_xlfn.CEILING.MATH(C24/42)</f>
        <v>1</v>
      </c>
      <c r="L24" s="18">
        <f>_xlfn.IFNA(VLOOKUP($K$14,Prices!$B$2:$D$50,2,FALSE),0)*K24</f>
        <v>1654.73</v>
      </c>
      <c r="M24" s="18">
        <f>(((_xlfn.IFNA(VLOOKUP($K$14,Prices!$B$2:$D$50,3,FALSE),0)*K24)*24*1826)/1000)*(_xlfn.IFNA(VLOOKUP($M$14,Prices!$B$2:$D$50,2,FALSE),0))*2</f>
        <v>536.40575999999999</v>
      </c>
      <c r="N24" s="18">
        <f>D24+F24+G24+I24+J24+L24+M24</f>
        <v>631269.66039999994</v>
      </c>
      <c r="O24" s="18">
        <f>N24/1826/24</f>
        <v>14.404656361810879</v>
      </c>
      <c r="P24" s="18">
        <f>O24/(C24*PrCloudDet!$E$11)</f>
        <v>2.4358523339101197E-3</v>
      </c>
      <c r="Q24" s="18">
        <f>O24/(Sheet1!$M$6*C44)</f>
        <v>3.6537785008651786E-3</v>
      </c>
    </row>
    <row r="25" spans="2:19" s="18" customFormat="1" x14ac:dyDescent="0.25">
      <c r="B25" s="18">
        <v>55675</v>
      </c>
      <c r="C25" s="18">
        <f>_xlfn.CEILING.MATH(_xlfn.CEILING.MATH(B25/Sheet1!$M$6)/PrCloudDet!$E$12)</f>
        <v>156</v>
      </c>
      <c r="D25" s="18">
        <f>$F$11*C25</f>
        <v>767955.24</v>
      </c>
      <c r="E25" s="18">
        <f>_xlfn.CEILING.MATH((C25+(IF(_xlfn.CEILING.MATH(C25/28)&lt;=1,_xlfn.CEILING.MATH(C25/28),((_xlfn.CEILING.MATH(C25/28))*(_xlfn.CEILING.MATH(C25/28)-1))/2)))/28)</f>
        <v>7</v>
      </c>
      <c r="F25" s="18">
        <f>_xlfn.IFNA(VLOOKUP($E$14,Prices!$B$2:$D$50,2,FALSE),0)</f>
        <v>2413.9899999999998</v>
      </c>
      <c r="G25" s="18">
        <f>(((_xlfn.IFNA(VLOOKUP($E$14,Prices!$B$2:$D$50,3,FALSE),0)*E25)*24*1826)/1000)*(_xlfn.IFNA(VLOOKUP($G$14,Prices!$B$2:$D$50,2,FALSE),0))*2</f>
        <v>2346.7752</v>
      </c>
      <c r="H25" s="18">
        <f>_xlfn.CEILING.MATH(C25/1000)</f>
        <v>1</v>
      </c>
      <c r="I25" s="18">
        <f>_xlfn.IFNA(VLOOKUP($I$14,Prices!$B$2:$D$50,2,FALSE),0)*H25</f>
        <v>526450</v>
      </c>
      <c r="J25" s="18">
        <f>(($G$11*24*1826)/1000)*(_xlfn.IFNA(VLOOKUP($J$14,Prices!$B$2:$D$50,2,FALSE),0))*C25*2</f>
        <v>648514.56384000008</v>
      </c>
      <c r="K25" s="18">
        <f>_xlfn.CEILING.MATH(C25/42)</f>
        <v>4</v>
      </c>
      <c r="L25" s="18">
        <f>_xlfn.IFNA(VLOOKUP($K$14,Prices!$B$2:$D$50,2,FALSE),0)*K25</f>
        <v>6618.92</v>
      </c>
      <c r="M25" s="18">
        <f>(((_xlfn.IFNA(VLOOKUP($K$14,Prices!$B$2:$D$50,3,FALSE),0)*K25)*24*1826)/1000)*(_xlfn.IFNA(VLOOKUP($M$14,Prices!$B$2:$D$50,2,FALSE),0))*2</f>
        <v>2145.6230399999999</v>
      </c>
      <c r="N25" s="18">
        <f>D25+F25+G25+I25+J25+L25+M25</f>
        <v>1956445.1120799999</v>
      </c>
      <c r="O25" s="18">
        <f>N25/1826/24</f>
        <v>44.643234576487771</v>
      </c>
      <c r="P25" s="18">
        <f>O25/(C25*PrCloudDet!$E$11)</f>
        <v>5.3231878835288573E-4</v>
      </c>
      <c r="Q25" s="18">
        <f>O25/(Sheet1!$M$6*C45)</f>
        <v>7.984781825293286E-4</v>
      </c>
    </row>
    <row r="26" spans="2:19" s="18" customFormat="1" x14ac:dyDescent="0.25"/>
    <row r="27" spans="2:19" s="18" customFormat="1" x14ac:dyDescent="0.25"/>
    <row r="28" spans="2:19" s="18" customFormat="1" x14ac:dyDescent="0.25"/>
    <row r="29" spans="2:19" s="18" customFormat="1" x14ac:dyDescent="0.25"/>
    <row r="30" spans="2:19" s="18" customFormat="1" x14ac:dyDescent="0.25"/>
    <row r="31" spans="2:19" s="18" customFormat="1" x14ac:dyDescent="0.25"/>
    <row r="32" spans="2:19" s="18" customFormat="1" x14ac:dyDescent="0.25"/>
    <row r="33" spans="2:13" s="18" customFormat="1" x14ac:dyDescent="0.25"/>
    <row r="34" spans="2:13" s="18" customFormat="1" x14ac:dyDescent="0.25"/>
    <row r="35" spans="2:13" ht="120" x14ac:dyDescent="0.25">
      <c r="B35" s="14" t="s">
        <v>97</v>
      </c>
      <c r="C35" s="2" t="s">
        <v>127</v>
      </c>
      <c r="D35" s="14" t="s">
        <v>128</v>
      </c>
      <c r="E35" s="14" t="s">
        <v>123</v>
      </c>
      <c r="F35" s="14" t="s">
        <v>124</v>
      </c>
      <c r="G35" s="14" t="s">
        <v>125</v>
      </c>
      <c r="H35" s="14" t="s">
        <v>104</v>
      </c>
      <c r="I35" s="14" t="s">
        <v>126</v>
      </c>
      <c r="J35" s="14" t="s">
        <v>108</v>
      </c>
      <c r="K35" s="14" t="s">
        <v>109</v>
      </c>
      <c r="L35" s="14" t="s">
        <v>110</v>
      </c>
    </row>
    <row r="36" spans="2:13" x14ac:dyDescent="0.25">
      <c r="B36" s="2">
        <f t="shared" ref="B36:B45" si="7">B16</f>
        <v>1</v>
      </c>
      <c r="C36" s="2">
        <f>_xlfn.CEILING.MATH(B16/Sheet1!$M$6)</f>
        <v>1</v>
      </c>
      <c r="D36" s="2">
        <f t="shared" ref="D36:E45" si="8">C16</f>
        <v>1</v>
      </c>
      <c r="E36" s="15">
        <f t="shared" si="8"/>
        <v>4922.79</v>
      </c>
      <c r="F36" s="15">
        <f t="shared" ref="F36:F45" si="9">F16+G16</f>
        <v>2749.2435999999998</v>
      </c>
      <c r="G36" s="15">
        <f t="shared" ref="G36:G45" si="10">I16</f>
        <v>526450</v>
      </c>
      <c r="H36" s="15">
        <f t="shared" ref="H36:H45" si="11">J16</f>
        <v>4157.1446400000004</v>
      </c>
      <c r="I36" s="15">
        <f t="shared" ref="I36:I45" si="12">L16+M16</f>
        <v>2191.1357600000001</v>
      </c>
      <c r="J36" s="15">
        <f t="shared" ref="J36:J45" si="13">N16</f>
        <v>540470.3139999999</v>
      </c>
      <c r="K36" s="15">
        <f t="shared" ref="K36:K45" si="14">O16</f>
        <v>12.332747216137273</v>
      </c>
      <c r="L36" s="16">
        <f t="shared" ref="L36:L45" si="15">P16</f>
        <v>2.294037800620773E-2</v>
      </c>
      <c r="M36" s="16">
        <f t="shared" ref="M36:M45" si="16">Q16</f>
        <v>3.4410567009311589E-2</v>
      </c>
    </row>
    <row r="37" spans="2:13" x14ac:dyDescent="0.25">
      <c r="B37" s="14">
        <f t="shared" si="7"/>
        <v>10</v>
      </c>
      <c r="C37" s="14">
        <f>_xlfn.CEILING.MATH(B17/Sheet1!$M$6)</f>
        <v>1</v>
      </c>
      <c r="D37" s="14">
        <f t="shared" si="8"/>
        <v>1</v>
      </c>
      <c r="E37" s="15">
        <f t="shared" si="8"/>
        <v>4922.79</v>
      </c>
      <c r="F37" s="15">
        <f t="shared" si="9"/>
        <v>2749.2435999999998</v>
      </c>
      <c r="G37" s="15">
        <f t="shared" si="10"/>
        <v>526450</v>
      </c>
      <c r="H37" s="15">
        <f t="shared" si="11"/>
        <v>4157.1446400000004</v>
      </c>
      <c r="I37" s="15">
        <f t="shared" si="12"/>
        <v>2191.1357600000001</v>
      </c>
      <c r="J37" s="15">
        <f t="shared" si="13"/>
        <v>540470.3139999999</v>
      </c>
      <c r="K37" s="15">
        <f t="shared" si="14"/>
        <v>12.332747216137273</v>
      </c>
      <c r="L37" s="16">
        <f t="shared" si="15"/>
        <v>2.294037800620773E-2</v>
      </c>
      <c r="M37" s="16">
        <f t="shared" si="16"/>
        <v>3.4410567009311589E-2</v>
      </c>
    </row>
    <row r="38" spans="2:13" x14ac:dyDescent="0.25">
      <c r="B38" s="14">
        <f t="shared" si="7"/>
        <v>100</v>
      </c>
      <c r="C38" s="14">
        <f>_xlfn.CEILING.MATH(B18/Sheet1!$M$6)</f>
        <v>1</v>
      </c>
      <c r="D38" s="14">
        <f t="shared" si="8"/>
        <v>1</v>
      </c>
      <c r="E38" s="15">
        <f t="shared" si="8"/>
        <v>4922.79</v>
      </c>
      <c r="F38" s="15">
        <f t="shared" si="9"/>
        <v>2749.2435999999998</v>
      </c>
      <c r="G38" s="15">
        <f t="shared" si="10"/>
        <v>526450</v>
      </c>
      <c r="H38" s="15">
        <f t="shared" si="11"/>
        <v>4157.1446400000004</v>
      </c>
      <c r="I38" s="15">
        <f t="shared" si="12"/>
        <v>2191.1357600000001</v>
      </c>
      <c r="J38" s="15">
        <f t="shared" si="13"/>
        <v>540470.3139999999</v>
      </c>
      <c r="K38" s="15">
        <f t="shared" si="14"/>
        <v>12.332747216137273</v>
      </c>
      <c r="L38" s="16">
        <f t="shared" si="15"/>
        <v>2.294037800620773E-2</v>
      </c>
      <c r="M38" s="16">
        <f t="shared" si="16"/>
        <v>3.4410567009311589E-2</v>
      </c>
    </row>
    <row r="39" spans="2:13" x14ac:dyDescent="0.25">
      <c r="B39" s="14">
        <f t="shared" si="7"/>
        <v>1000</v>
      </c>
      <c r="C39" s="14">
        <f>_xlfn.CEILING.MATH(B19/Sheet1!$M$6)</f>
        <v>3</v>
      </c>
      <c r="D39" s="14">
        <f t="shared" si="8"/>
        <v>3</v>
      </c>
      <c r="E39" s="15">
        <f t="shared" si="8"/>
        <v>14768.369999999999</v>
      </c>
      <c r="F39" s="15">
        <f t="shared" si="9"/>
        <v>2749.2435999999998</v>
      </c>
      <c r="G39" s="15">
        <f t="shared" si="10"/>
        <v>526450</v>
      </c>
      <c r="H39" s="15">
        <f t="shared" si="11"/>
        <v>12471.433920000001</v>
      </c>
      <c r="I39" s="15">
        <f t="shared" si="12"/>
        <v>2191.1357600000001</v>
      </c>
      <c r="J39" s="15">
        <f t="shared" si="13"/>
        <v>558630.18328</v>
      </c>
      <c r="K39" s="15">
        <f t="shared" si="14"/>
        <v>12.747129045271997</v>
      </c>
      <c r="L39" s="16">
        <f t="shared" si="15"/>
        <v>7.9037258465228175E-3</v>
      </c>
      <c r="M39" s="16">
        <f t="shared" si="16"/>
        <v>1.1855588769784226E-2</v>
      </c>
    </row>
    <row r="40" spans="2:13" x14ac:dyDescent="0.25">
      <c r="B40" s="14">
        <f t="shared" si="7"/>
        <v>10000</v>
      </c>
      <c r="C40" s="14">
        <f>_xlfn.CEILING.MATH(B20/Sheet1!$M$6)</f>
        <v>28</v>
      </c>
      <c r="D40" s="14">
        <f t="shared" si="8"/>
        <v>28</v>
      </c>
      <c r="E40" s="15">
        <f t="shared" si="8"/>
        <v>137838.12</v>
      </c>
      <c r="F40" s="15">
        <f t="shared" si="9"/>
        <v>3084.4971999999998</v>
      </c>
      <c r="G40" s="15">
        <f t="shared" si="10"/>
        <v>526450</v>
      </c>
      <c r="H40" s="15">
        <f t="shared" si="11"/>
        <v>116400.04992000002</v>
      </c>
      <c r="I40" s="15">
        <f t="shared" si="12"/>
        <v>2191.1357600000001</v>
      </c>
      <c r="J40" s="15">
        <f t="shared" si="13"/>
        <v>785963.80287999997</v>
      </c>
      <c r="K40" s="15">
        <f t="shared" si="14"/>
        <v>17.934551909456005</v>
      </c>
      <c r="L40" s="16">
        <f t="shared" si="15"/>
        <v>1.1914429149032743E-3</v>
      </c>
      <c r="M40" s="16">
        <f t="shared" si="16"/>
        <v>1.7871643723549114E-3</v>
      </c>
    </row>
    <row r="41" spans="2:13" x14ac:dyDescent="0.25">
      <c r="B41" s="14">
        <f t="shared" si="7"/>
        <v>100000</v>
      </c>
      <c r="C41" s="14">
        <f>_xlfn.CEILING.MATH(B21/Sheet1!$M$6)</f>
        <v>280</v>
      </c>
      <c r="D41" s="14">
        <f t="shared" si="8"/>
        <v>280</v>
      </c>
      <c r="E41" s="15">
        <f t="shared" si="8"/>
        <v>1378381.2</v>
      </c>
      <c r="F41" s="15">
        <f t="shared" si="9"/>
        <v>6437.0331999999999</v>
      </c>
      <c r="G41" s="15">
        <f t="shared" si="10"/>
        <v>526450</v>
      </c>
      <c r="H41" s="15">
        <f t="shared" si="11"/>
        <v>1164000.4992000002</v>
      </c>
      <c r="I41" s="15">
        <f t="shared" si="12"/>
        <v>15337.95032</v>
      </c>
      <c r="J41" s="15">
        <f t="shared" si="13"/>
        <v>3090606.6827199999</v>
      </c>
      <c r="K41" s="15">
        <f t="shared" si="14"/>
        <v>70.523153585250085</v>
      </c>
      <c r="L41" s="16">
        <f t="shared" si="15"/>
        <v>4.6850521886459726E-4</v>
      </c>
      <c r="M41" s="16">
        <f t="shared" si="16"/>
        <v>7.0275782829689573E-4</v>
      </c>
    </row>
    <row r="42" spans="2:13" x14ac:dyDescent="0.25">
      <c r="B42" s="14">
        <f t="shared" si="7"/>
        <v>1000000</v>
      </c>
      <c r="C42" s="14">
        <f>_xlfn.CEILING.MATH(B22/Sheet1!$M$6)</f>
        <v>2791</v>
      </c>
      <c r="D42" s="14">
        <f t="shared" si="8"/>
        <v>2791</v>
      </c>
      <c r="E42" s="15">
        <f t="shared" si="8"/>
        <v>13739506.890000001</v>
      </c>
      <c r="F42" s="15">
        <f t="shared" si="9"/>
        <v>95279.237200000003</v>
      </c>
      <c r="G42" s="15">
        <f t="shared" si="10"/>
        <v>1579350</v>
      </c>
      <c r="H42" s="15">
        <f t="shared" si="11"/>
        <v>11602590.690240001</v>
      </c>
      <c r="I42" s="15">
        <f t="shared" si="12"/>
        <v>146806.09591999999</v>
      </c>
      <c r="J42" s="15">
        <f t="shared" si="13"/>
        <v>27163532.913360003</v>
      </c>
      <c r="K42" s="15">
        <f t="shared" si="14"/>
        <v>619.83235015881712</v>
      </c>
      <c r="L42" s="16">
        <f t="shared" si="15"/>
        <v>4.1309995014722142E-4</v>
      </c>
      <c r="M42" s="16">
        <f t="shared" si="16"/>
        <v>6.1964992522083213E-4</v>
      </c>
    </row>
    <row r="43" spans="2:13" x14ac:dyDescent="0.25">
      <c r="B43" s="18">
        <f t="shared" si="7"/>
        <v>2865</v>
      </c>
      <c r="C43" s="18">
        <f>_xlfn.CEILING.MATH(B23/Sheet1!$M$6)</f>
        <v>8</v>
      </c>
      <c r="D43" s="18">
        <f t="shared" si="8"/>
        <v>8</v>
      </c>
      <c r="E43" s="15">
        <f t="shared" si="8"/>
        <v>39382.32</v>
      </c>
      <c r="F43" s="15">
        <f t="shared" si="9"/>
        <v>2749.2435999999998</v>
      </c>
      <c r="G43" s="15">
        <f t="shared" si="10"/>
        <v>526450</v>
      </c>
      <c r="H43" s="15">
        <f t="shared" si="11"/>
        <v>33257.157120000003</v>
      </c>
      <c r="I43" s="15">
        <f t="shared" si="12"/>
        <v>2191.1357600000001</v>
      </c>
      <c r="J43" s="15">
        <f t="shared" si="13"/>
        <v>604029.85647999996</v>
      </c>
      <c r="K43" s="15">
        <f t="shared" si="14"/>
        <v>13.783083618108797</v>
      </c>
      <c r="L43" s="16">
        <f t="shared" si="15"/>
        <v>3.2047720466212796E-3</v>
      </c>
      <c r="M43" s="16">
        <f t="shared" si="16"/>
        <v>4.8071580699319194E-3</v>
      </c>
    </row>
    <row r="44" spans="2:13" x14ac:dyDescent="0.25">
      <c r="B44" s="18">
        <f t="shared" si="7"/>
        <v>3840</v>
      </c>
      <c r="C44" s="18">
        <f>_xlfn.CEILING.MATH(B24/Sheet1!$M$6)</f>
        <v>11</v>
      </c>
      <c r="D44" s="18">
        <f t="shared" si="8"/>
        <v>11</v>
      </c>
      <c r="E44" s="15">
        <f t="shared" si="8"/>
        <v>54150.69</v>
      </c>
      <c r="F44" s="15">
        <f t="shared" si="9"/>
        <v>2749.2435999999998</v>
      </c>
      <c r="G44" s="15">
        <f t="shared" si="10"/>
        <v>526450</v>
      </c>
      <c r="H44" s="15">
        <f t="shared" si="11"/>
        <v>45728.591040000007</v>
      </c>
      <c r="I44" s="15">
        <f t="shared" si="12"/>
        <v>2191.1357600000001</v>
      </c>
      <c r="J44" s="15">
        <f t="shared" si="13"/>
        <v>631269.66039999994</v>
      </c>
      <c r="K44" s="15">
        <f t="shared" si="14"/>
        <v>14.404656361810879</v>
      </c>
      <c r="L44" s="16">
        <f t="shared" si="15"/>
        <v>2.4358523339101197E-3</v>
      </c>
      <c r="M44" s="16">
        <f t="shared" si="16"/>
        <v>3.6537785008651786E-3</v>
      </c>
    </row>
    <row r="45" spans="2:13" x14ac:dyDescent="0.25">
      <c r="B45" s="18">
        <f t="shared" si="7"/>
        <v>55675</v>
      </c>
      <c r="C45" s="18">
        <f>_xlfn.CEILING.MATH(B25/Sheet1!$M$6)</f>
        <v>156</v>
      </c>
      <c r="D45" s="18">
        <f t="shared" si="8"/>
        <v>156</v>
      </c>
      <c r="E45" s="15">
        <f t="shared" si="8"/>
        <v>767955.24</v>
      </c>
      <c r="F45" s="15">
        <f t="shared" si="9"/>
        <v>4760.7651999999998</v>
      </c>
      <c r="G45" s="15">
        <f t="shared" si="10"/>
        <v>526450</v>
      </c>
      <c r="H45" s="15">
        <f t="shared" si="11"/>
        <v>648514.56384000008</v>
      </c>
      <c r="I45" s="15">
        <f t="shared" si="12"/>
        <v>8764.5430400000005</v>
      </c>
      <c r="J45" s="15">
        <f t="shared" si="13"/>
        <v>1956445.1120799999</v>
      </c>
      <c r="K45" s="15">
        <f t="shared" si="14"/>
        <v>44.643234576487771</v>
      </c>
      <c r="L45" s="16">
        <f t="shared" si="15"/>
        <v>5.3231878835288573E-4</v>
      </c>
      <c r="M45" s="16">
        <f t="shared" si="16"/>
        <v>7.984781825293286E-4</v>
      </c>
    </row>
  </sheetData>
  <mergeCells count="2">
    <mergeCell ref="E14:F14"/>
    <mergeCell ref="K14:L1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R43"/>
  <sheetViews>
    <sheetView topLeftCell="A5" zoomScale="70" zoomScaleNormal="70" workbookViewId="0">
      <selection activeCell="E5" sqref="E5"/>
    </sheetView>
  </sheetViews>
  <sheetFormatPr defaultRowHeight="15" x14ac:dyDescent="0.25"/>
  <cols>
    <col min="1" max="1" width="9.140625" style="2"/>
    <col min="2" max="2" width="18" style="2" customWidth="1"/>
    <col min="3" max="3" width="29.7109375" style="2" customWidth="1"/>
    <col min="4" max="4" width="14.85546875" style="2" customWidth="1"/>
    <col min="5" max="5" width="27.28515625" style="2" customWidth="1"/>
    <col min="6" max="6" width="15.5703125" style="2" customWidth="1"/>
    <col min="7" max="7" width="11.5703125" style="2" bestFit="1" customWidth="1"/>
    <col min="8" max="8" width="10.140625" style="2" bestFit="1" customWidth="1"/>
    <col min="9" max="9" width="9.28515625" style="2" bestFit="1" customWidth="1"/>
    <col min="10" max="10" width="11.7109375" style="2" bestFit="1" customWidth="1"/>
    <col min="11" max="11" width="9.28515625" style="2" bestFit="1" customWidth="1"/>
    <col min="12" max="12" width="13.5703125" style="2" bestFit="1" customWidth="1"/>
    <col min="13" max="13" width="17.28515625" style="2" bestFit="1" customWidth="1"/>
    <col min="14" max="14" width="9.140625" style="2"/>
    <col min="15" max="16" width="11.5703125" style="2" bestFit="1" customWidth="1"/>
    <col min="17" max="17" width="19.28515625" style="2" customWidth="1"/>
    <col min="18" max="18" width="19.42578125" style="2" customWidth="1"/>
    <col min="19" max="16384" width="9.140625" style="2"/>
  </cols>
  <sheetData>
    <row r="1" spans="2:17" ht="45" x14ac:dyDescent="0.25">
      <c r="B1" s="2" t="s">
        <v>28</v>
      </c>
    </row>
    <row r="3" spans="2:17" ht="45" x14ac:dyDescent="0.25">
      <c r="B3" s="2" t="s">
        <v>27</v>
      </c>
      <c r="C3" s="2" t="s">
        <v>33</v>
      </c>
      <c r="D3" s="2" t="s">
        <v>30</v>
      </c>
      <c r="E3" s="2" t="s">
        <v>31</v>
      </c>
      <c r="F3" s="2" t="s">
        <v>32</v>
      </c>
      <c r="G3" s="3" t="s">
        <v>89</v>
      </c>
    </row>
    <row r="4" spans="2:17" ht="30" x14ac:dyDescent="0.25">
      <c r="B4" s="2" t="s">
        <v>40</v>
      </c>
      <c r="C4" s="2" t="str">
        <f>PrCloudQty!F2</f>
        <v>NORCO RPC-170 Black 1U Rackmount Server Chassis</v>
      </c>
      <c r="D4" s="2">
        <v>1</v>
      </c>
      <c r="E4" s="8">
        <f>_xlfn.IFNA(VLOOKUP(TEXT(C4,"text"),Prices!$B$2:$C$300,2,FALSE),0)</f>
        <v>96.84</v>
      </c>
      <c r="F4" s="2">
        <f t="shared" ref="F4:F10" si="0">_xlfn.IFNA(D4*E4,0)</f>
        <v>96.84</v>
      </c>
      <c r="G4" s="3">
        <f>_xlfn.IFNA(VLOOKUP(TEXT(C4,"text"),Prices!$B$2:$D$300,3,FALSE)*D4,0)</f>
        <v>10</v>
      </c>
    </row>
    <row r="5" spans="2:17" ht="75" x14ac:dyDescent="0.25">
      <c r="B5" s="2" t="s">
        <v>26</v>
      </c>
      <c r="C5" s="2" t="str">
        <f>PrCloudDet!F2</f>
        <v>Intel Xeon E5-2690 v3 Haswell 2.6 GHz 12 x 256KB L2 Cache 30 MB L3 Cache LGA 2011-3 135W BX80644E52690V3 Server Processor</v>
      </c>
      <c r="D5" s="2">
        <f>PrCloudQty!F4</f>
        <v>2</v>
      </c>
      <c r="E5" s="8">
        <f>_xlfn.IFNA(VLOOKUP(TEXT(C5,"text"),Prices!$B$2:$C$300,2,FALSE),0)</f>
        <v>2149.9899999999998</v>
      </c>
      <c r="F5" s="3">
        <f t="shared" si="0"/>
        <v>4299.9799999999996</v>
      </c>
      <c r="G5" s="3">
        <f>_xlfn.IFNA(VLOOKUP(TEXT(C5,"text"),Prices!$B$2:$D$300,3,FALSE)*D5,0)</f>
        <v>270</v>
      </c>
    </row>
    <row r="6" spans="2:17" ht="75" x14ac:dyDescent="0.25">
      <c r="B6" s="2" t="s">
        <v>29</v>
      </c>
      <c r="C6" s="2" t="str">
        <f>PrCloudQty!F5</f>
        <v>Kingston 64GB (4 x 16GB) 288-Pin DDR4 SDRAM ECC Registered DDR4 2133 (PC4 17000) Server Memory Model KVR21R15D4K4/64</v>
      </c>
      <c r="D6" s="2">
        <f>PrCloudQty!F6</f>
        <v>2</v>
      </c>
      <c r="E6" s="8">
        <f>_xlfn.IFNA(VLOOKUP(TEXT(C6,"text"),Prices!$B$2:$C$300,2,FALSE),0)</f>
        <v>365.99</v>
      </c>
      <c r="F6" s="3">
        <f t="shared" si="0"/>
        <v>731.98</v>
      </c>
      <c r="G6" s="3">
        <f>_xlfn.IFNA(VLOOKUP(TEXT(C6,"text"),Prices!$B$2:$D$300,3,FALSE)*D6,0)</f>
        <v>40</v>
      </c>
    </row>
    <row r="7" spans="2:17" ht="45" x14ac:dyDescent="0.25">
      <c r="B7" s="2" t="s">
        <v>37</v>
      </c>
      <c r="C7" s="2" t="str">
        <f>PrCloudQty!F7</f>
        <v>GIGABYTE MD80-TM0 E-ATX / SSI EEB Server Motherboard Dual LGA 2011-3 Intel C612</v>
      </c>
      <c r="D7" s="2">
        <v>1</v>
      </c>
      <c r="E7" s="8">
        <f>_xlfn.IFNA(VLOOKUP(TEXT(C7,"text"),Prices!$B$2:$C$300,2,FALSE),0)</f>
        <v>659.99</v>
      </c>
      <c r="F7" s="3">
        <f t="shared" si="0"/>
        <v>659.99</v>
      </c>
      <c r="G7" s="3">
        <f>_xlfn.IFNA(VLOOKUP(TEXT(C7,"text"),Prices!$B$2:$D$300,3,FALSE)*D7,0)</f>
        <v>25</v>
      </c>
    </row>
    <row r="8" spans="2:17" ht="45" x14ac:dyDescent="0.25">
      <c r="B8" s="2" t="s">
        <v>34</v>
      </c>
      <c r="C8" s="2" t="str">
        <f>PrCloudQty!F8</f>
        <v>Black Diamond Memory Sonic Series BDSSDS1T 2.5" 1TB SATA III TLC Internal Solid State Drive</v>
      </c>
      <c r="D8" s="2">
        <f>PrCloudQty!F9</f>
        <v>1</v>
      </c>
      <c r="E8" s="8">
        <f>_xlfn.IFNA(VLOOKUP(TEXT(C8,"text"),Prices!$B$2:$C$300,2,FALSE),0)</f>
        <v>259.99</v>
      </c>
      <c r="F8" s="3">
        <f t="shared" si="0"/>
        <v>259.99</v>
      </c>
      <c r="G8" s="3">
        <f>_xlfn.IFNA(VLOOKUP(TEXT(C8,"text"),Prices!$B$2:$D$300,3,FALSE)*D8,0)</f>
        <v>25</v>
      </c>
    </row>
    <row r="9" spans="2:17" x14ac:dyDescent="0.25">
      <c r="B9" s="2" t="s">
        <v>35</v>
      </c>
      <c r="D9" s="7"/>
      <c r="E9" s="8">
        <f>_xlfn.IFNA(VLOOKUP(TEXT(C9,"text"),Prices!$B$2:$C$300,2,FALSE),0)</f>
        <v>0</v>
      </c>
      <c r="F9" s="7">
        <f t="shared" si="0"/>
        <v>0</v>
      </c>
      <c r="G9" s="7">
        <f>_xlfn.IFNA(VLOOKUP(TEXT(C9,"text"),Prices!$B$2:$D$300,3,FALSE)*D9,0)</f>
        <v>0</v>
      </c>
    </row>
    <row r="10" spans="2:17" s="7" customFormat="1" ht="45" x14ac:dyDescent="0.25">
      <c r="B10" s="3" t="s">
        <v>83</v>
      </c>
      <c r="C10" s="7" t="str">
        <f>PrCloudQty!F17</f>
        <v>Nvidia GRID K520 8GB PCIe x16 Cloud Gaming GPU Graphics Card 900-12055-0020-000</v>
      </c>
      <c r="D10" s="7">
        <f>PrCloudQty!F18</f>
        <v>3</v>
      </c>
      <c r="E10" s="8">
        <f>_xlfn.IFNA(VLOOKUP(TEXT(C10,"text"),Prices!$B$2:$C$300,2,FALSE),0)</f>
        <v>1895</v>
      </c>
      <c r="F10" s="7">
        <f t="shared" si="0"/>
        <v>5685</v>
      </c>
      <c r="G10" s="7">
        <f>_xlfn.IFNA(VLOOKUP(TEXT(C10,"text"),Prices!$B$2:$D$300,3,FALSE)*D10,0)</f>
        <v>675</v>
      </c>
    </row>
    <row r="11" spans="2:17" s="8" customFormat="1" x14ac:dyDescent="0.25">
      <c r="F11" s="8">
        <f>SUM(F4:F10)</f>
        <v>11733.779999999999</v>
      </c>
      <c r="G11" s="8">
        <f>SUM(G4:G10)</f>
        <v>1045</v>
      </c>
    </row>
    <row r="12" spans="2:17" s="8" customFormat="1" x14ac:dyDescent="0.25"/>
    <row r="13" spans="2:17" s="10" customFormat="1" x14ac:dyDescent="0.25"/>
    <row r="14" spans="2:17" s="10" customFormat="1" ht="33.75" customHeight="1" x14ac:dyDescent="0.25">
      <c r="E14" s="19" t="str">
        <f>PrCloudQty!B19</f>
        <v>NETGEAR ProSAFE XS728T 28-Port 10-Gigabit Ethernet Smart Managed Switch (XS728T) - Lifetime Warranty</v>
      </c>
      <c r="F14" s="19"/>
      <c r="G14" s="10" t="s">
        <v>105</v>
      </c>
      <c r="I14" s="10" t="s">
        <v>39</v>
      </c>
      <c r="J14" s="10" t="s">
        <v>105</v>
      </c>
      <c r="K14" s="19" t="str">
        <f>PrCloudQty!B15</f>
        <v>APC AR3300 42U NetShelter SX 600mm Wide x 1200mm Deep Enclosure</v>
      </c>
      <c r="L14" s="19"/>
      <c r="M14" s="10" t="s">
        <v>105</v>
      </c>
    </row>
    <row r="15" spans="2:17" s="10" customFormat="1" ht="60" x14ac:dyDescent="0.25">
      <c r="B15" s="10" t="s">
        <v>97</v>
      </c>
      <c r="C15" s="10" t="s">
        <v>98</v>
      </c>
      <c r="D15" s="10" t="s">
        <v>99</v>
      </c>
      <c r="E15" s="10" t="s">
        <v>102</v>
      </c>
      <c r="F15" s="10" t="s">
        <v>100</v>
      </c>
      <c r="G15" s="10" t="s">
        <v>103</v>
      </c>
      <c r="H15" s="10" t="s">
        <v>122</v>
      </c>
      <c r="I15" s="10" t="s">
        <v>101</v>
      </c>
      <c r="J15" s="10" t="s">
        <v>104</v>
      </c>
      <c r="K15" s="10" t="s">
        <v>79</v>
      </c>
      <c r="L15" s="10" t="s">
        <v>106</v>
      </c>
      <c r="M15" s="10" t="s">
        <v>107</v>
      </c>
      <c r="N15" s="10" t="s">
        <v>108</v>
      </c>
      <c r="O15" s="10" t="s">
        <v>109</v>
      </c>
      <c r="P15" s="10" t="s">
        <v>110</v>
      </c>
    </row>
    <row r="16" spans="2:17" s="10" customFormat="1" x14ac:dyDescent="0.25">
      <c r="B16" s="10">
        <v>1</v>
      </c>
      <c r="C16" s="14">
        <f>_xlfn.CEILING.MATH(_xlfn.CEILING.MATH(B16/Sheet1!$M$7)/PrCloudDet!$F$12)</f>
        <v>1</v>
      </c>
      <c r="D16" s="10">
        <f>$F$11*C16</f>
        <v>11733.779999999999</v>
      </c>
      <c r="E16" s="12">
        <f t="shared" ref="E16:E22" si="1">_xlfn.CEILING.MATH((C16+(IF(_xlfn.CEILING.MATH(C16/28)&lt;=1,_xlfn.CEILING.MATH(C16/28),((_xlfn.CEILING.MATH(C16/28))*(_xlfn.CEILING.MATH(C16/28)-1))/2)))/28)</f>
        <v>1</v>
      </c>
      <c r="F16" s="10">
        <f>_xlfn.IFNA(VLOOKUP($E$14,Prices!$B$2:$D$50,2,FALSE),0)*E16</f>
        <v>2413.9899999999998</v>
      </c>
      <c r="G16" s="10">
        <f>(((_xlfn.IFNA(VLOOKUP($E$14,Prices!$B$2:$D$50,3,FALSE),0)*E16)*24*1826)/1000)*(_xlfn.IFNA(VLOOKUP($G$14,Prices!$B$2:$D$50,2,FALSE),0))*2</f>
        <v>335.25359999999995</v>
      </c>
      <c r="H16" s="10">
        <f>_xlfn.CEILING.MATH(C16/1000)</f>
        <v>1</v>
      </c>
      <c r="I16" s="10">
        <f>_xlfn.IFNA(VLOOKUP($I$14,Prices!$B$2:$D$50,2,FALSE),0)*H16</f>
        <v>526450</v>
      </c>
      <c r="J16" s="10">
        <f>(($G$11*24*1826)/1000)*(_xlfn.IFNA(VLOOKUP($J$14,Prices!$B$2:$D$50,2,FALSE),0))*C16*2</f>
        <v>14013.600480000001</v>
      </c>
      <c r="K16" s="10">
        <f t="shared" ref="K16:K22" si="2">_xlfn.CEILING.MATH(C16/42)</f>
        <v>1</v>
      </c>
      <c r="L16" s="10">
        <f>_xlfn.IFNA(VLOOKUP($K$14,Prices!$B$2:$D$50,2,FALSE),0)*K16</f>
        <v>1654.73</v>
      </c>
      <c r="M16" s="10">
        <f>(((_xlfn.IFNA(VLOOKUP($K$14,Prices!$B$2:$D$50,3,FALSE),0)*K16)*24*1826)/1000)*(_xlfn.IFNA(VLOOKUP($M$14,Prices!$B$2:$D$50,2,FALSE),0))*2</f>
        <v>536.40575999999999</v>
      </c>
      <c r="N16" s="10">
        <f t="shared" ref="N16:N22" si="3">D16+F16+G16+I16+J16+L16+M16</f>
        <v>557137.75983999996</v>
      </c>
      <c r="O16" s="10">
        <f>N16/1826/24</f>
        <v>12.71307411098941</v>
      </c>
      <c r="P16" s="10">
        <f>O16/(C16*PrCloudDet!$F$11)</f>
        <v>8.1032801176568058E-4</v>
      </c>
      <c r="Q16" s="18">
        <f>O16/(Sheet1!$M$7*C36)</f>
        <v>5.0217546654247949E-3</v>
      </c>
    </row>
    <row r="17" spans="2:18" s="10" customFormat="1" x14ac:dyDescent="0.25">
      <c r="B17" s="10">
        <v>10</v>
      </c>
      <c r="C17" s="14">
        <f>_xlfn.CEILING.MATH(_xlfn.CEILING.MATH(B17/Sheet1!$M$7)/PrCloudDet!$F$12)</f>
        <v>1</v>
      </c>
      <c r="D17" s="10">
        <f t="shared" ref="D17:D22" si="4">$F$11*C17</f>
        <v>11733.779999999999</v>
      </c>
      <c r="E17" s="12">
        <f t="shared" si="1"/>
        <v>1</v>
      </c>
      <c r="F17" s="10">
        <f>_xlfn.IFNA(VLOOKUP($E$14,Prices!$B$2:$D$50,2,FALSE),0)</f>
        <v>2413.9899999999998</v>
      </c>
      <c r="G17" s="10">
        <f>(((_xlfn.IFNA(VLOOKUP($E$14,Prices!$B$2:$D$50,3,FALSE),0)*E17)*24*1826)/1000)*(_xlfn.IFNA(VLOOKUP($G$14,Prices!$B$2:$D$50,2,FALSE),0))*2</f>
        <v>335.25359999999995</v>
      </c>
      <c r="H17" s="10">
        <f t="shared" ref="H17:H22" si="5">_xlfn.CEILING.MATH(C17/1000)</f>
        <v>1</v>
      </c>
      <c r="I17" s="10">
        <f>_xlfn.IFNA(VLOOKUP($I$14,Prices!$B$2:$D$50,2,FALSE),0)*H17</f>
        <v>526450</v>
      </c>
      <c r="J17" s="10">
        <f>(($G$11*24*1826)/1000)*(_xlfn.IFNA(VLOOKUP($J$14,Prices!$B$2:$D$50,2,FALSE),0))*C17*2</f>
        <v>14013.600480000001</v>
      </c>
      <c r="K17" s="10">
        <f t="shared" si="2"/>
        <v>1</v>
      </c>
      <c r="L17" s="10">
        <f>_xlfn.IFNA(VLOOKUP($K$14,Prices!$B$2:$D$50,2,FALSE),0)*K17</f>
        <v>1654.73</v>
      </c>
      <c r="M17" s="10">
        <f>(((_xlfn.IFNA(VLOOKUP($K$14,Prices!$B$2:$D$50,3,FALSE),0)*K17)*24*1826)/1000)*(_xlfn.IFNA(VLOOKUP($M$14,Prices!$B$2:$D$50,2,FALSE),0))*2</f>
        <v>536.40575999999999</v>
      </c>
      <c r="N17" s="10">
        <f t="shared" si="3"/>
        <v>557137.75983999996</v>
      </c>
      <c r="O17" s="10">
        <f t="shared" ref="O17:O22" si="6">N17/1826/24</f>
        <v>12.71307411098941</v>
      </c>
      <c r="P17" s="10">
        <f>O17/(C17*PrCloudDet!$F$11)</f>
        <v>8.1032801176568058E-4</v>
      </c>
      <c r="Q17" s="18">
        <f>O17/(Sheet1!$M$7*C37)</f>
        <v>5.0217546654247949E-3</v>
      </c>
    </row>
    <row r="18" spans="2:18" s="10" customFormat="1" x14ac:dyDescent="0.25">
      <c r="B18" s="10">
        <v>100</v>
      </c>
      <c r="C18" s="14">
        <f>_xlfn.CEILING.MATH(_xlfn.CEILING.MATH(B18/Sheet1!$M$7)/PrCloudDet!$F$12)</f>
        <v>1</v>
      </c>
      <c r="D18" s="10">
        <f t="shared" si="4"/>
        <v>11733.779999999999</v>
      </c>
      <c r="E18" s="12">
        <f t="shared" si="1"/>
        <v>1</v>
      </c>
      <c r="F18" s="10">
        <f>_xlfn.IFNA(VLOOKUP($E$14,Prices!$B$2:$D$50,2,FALSE),0)</f>
        <v>2413.9899999999998</v>
      </c>
      <c r="G18" s="10">
        <f>(((_xlfn.IFNA(VLOOKUP($E$14,Prices!$B$2:$D$50,3,FALSE),0)*E18)*24*1826)/1000)*(_xlfn.IFNA(VLOOKUP($G$14,Prices!$B$2:$D$50,2,FALSE),0))*2</f>
        <v>335.25359999999995</v>
      </c>
      <c r="H18" s="10">
        <f t="shared" si="5"/>
        <v>1</v>
      </c>
      <c r="I18" s="10">
        <f>_xlfn.IFNA(VLOOKUP($I$14,Prices!$B$2:$D$50,2,FALSE),0)*H18</f>
        <v>526450</v>
      </c>
      <c r="J18" s="10">
        <f>(($G$11*24*1826)/1000)*(_xlfn.IFNA(VLOOKUP($J$14,Prices!$B$2:$D$50,2,FALSE),0))*C18*2</f>
        <v>14013.600480000001</v>
      </c>
      <c r="K18" s="10">
        <f t="shared" si="2"/>
        <v>1</v>
      </c>
      <c r="L18" s="10">
        <f>_xlfn.IFNA(VLOOKUP($K$14,Prices!$B$2:$D$50,2,FALSE),0)*K18</f>
        <v>1654.73</v>
      </c>
      <c r="M18" s="10">
        <f>(((_xlfn.IFNA(VLOOKUP($K$14,Prices!$B$2:$D$50,3,FALSE),0)*K18)*24*1826)/1000)*(_xlfn.IFNA(VLOOKUP($M$14,Prices!$B$2:$D$50,2,FALSE),0))*2</f>
        <v>536.40575999999999</v>
      </c>
      <c r="N18" s="10">
        <f t="shared" si="3"/>
        <v>557137.75983999996</v>
      </c>
      <c r="O18" s="10">
        <f t="shared" si="6"/>
        <v>12.71307411098941</v>
      </c>
      <c r="P18" s="10">
        <f>O18/(C18*PrCloudDet!$F$11)</f>
        <v>8.1032801176568058E-4</v>
      </c>
      <c r="Q18" s="18">
        <f>O18/(Sheet1!$M$7*C38)</f>
        <v>5.0217546654247949E-3</v>
      </c>
    </row>
    <row r="19" spans="2:18" s="10" customFormat="1" x14ac:dyDescent="0.25">
      <c r="B19" s="10">
        <v>1000</v>
      </c>
      <c r="C19" s="14">
        <f>_xlfn.CEILING.MATH(_xlfn.CEILING.MATH(B19/Sheet1!$M$7)/PrCloudDet!$F$12)</f>
        <v>1</v>
      </c>
      <c r="D19" s="10">
        <f t="shared" si="4"/>
        <v>11733.779999999999</v>
      </c>
      <c r="E19" s="12">
        <f t="shared" si="1"/>
        <v>1</v>
      </c>
      <c r="F19" s="10">
        <f>_xlfn.IFNA(VLOOKUP($E$14,Prices!$B$2:$D$50,2,FALSE),0)</f>
        <v>2413.9899999999998</v>
      </c>
      <c r="G19" s="10">
        <f>(((_xlfn.IFNA(VLOOKUP($E$14,Prices!$B$2:$D$50,3,FALSE),0)*E19)*24*1826)/1000)*(_xlfn.IFNA(VLOOKUP($G$14,Prices!$B$2:$D$50,2,FALSE),0))*2</f>
        <v>335.25359999999995</v>
      </c>
      <c r="H19" s="10">
        <f t="shared" si="5"/>
        <v>1</v>
      </c>
      <c r="I19" s="10">
        <f>_xlfn.IFNA(VLOOKUP($I$14,Prices!$B$2:$D$50,2,FALSE),0)*H19</f>
        <v>526450</v>
      </c>
      <c r="J19" s="10">
        <f>(($G$11*24*1826)/1000)*(_xlfn.IFNA(VLOOKUP($J$14,Prices!$B$2:$D$50,2,FALSE),0))*C19*2</f>
        <v>14013.600480000001</v>
      </c>
      <c r="K19" s="10">
        <f t="shared" si="2"/>
        <v>1</v>
      </c>
      <c r="L19" s="10">
        <f>_xlfn.IFNA(VLOOKUP($K$14,Prices!$B$2:$D$50,2,FALSE),0)*K19</f>
        <v>1654.73</v>
      </c>
      <c r="M19" s="10">
        <f>(((_xlfn.IFNA(VLOOKUP($K$14,Prices!$B$2:$D$50,3,FALSE),0)*K19)*24*1826)/1000)*(_xlfn.IFNA(VLOOKUP($M$14,Prices!$B$2:$D$50,2,FALSE),0))*2</f>
        <v>536.40575999999999</v>
      </c>
      <c r="N19" s="10">
        <f t="shared" si="3"/>
        <v>557137.75983999996</v>
      </c>
      <c r="O19" s="10">
        <f t="shared" si="6"/>
        <v>12.71307411098941</v>
      </c>
      <c r="P19" s="10">
        <f>O19/(C19*PrCloudDet!$F$11)</f>
        <v>8.1032801176568058E-4</v>
      </c>
      <c r="Q19" s="18">
        <f>O19/(Sheet1!$M$7*C39)</f>
        <v>5.0217546654247949E-3</v>
      </c>
    </row>
    <row r="20" spans="2:18" s="10" customFormat="1" x14ac:dyDescent="0.25">
      <c r="B20" s="10">
        <v>10000</v>
      </c>
      <c r="C20" s="14">
        <f>_xlfn.CEILING.MATH(_xlfn.CEILING.MATH(B20/Sheet1!$M$7)/PrCloudDet!$F$12)</f>
        <v>1</v>
      </c>
      <c r="D20" s="10">
        <f t="shared" si="4"/>
        <v>11733.779999999999</v>
      </c>
      <c r="E20" s="12">
        <f t="shared" si="1"/>
        <v>1</v>
      </c>
      <c r="F20" s="10">
        <f>_xlfn.IFNA(VLOOKUP($E$14,Prices!$B$2:$D$50,2,FALSE),0)</f>
        <v>2413.9899999999998</v>
      </c>
      <c r="G20" s="10">
        <f>(((_xlfn.IFNA(VLOOKUP($E$14,Prices!$B$2:$D$50,3,FALSE),0)*E20)*24*1826)/1000)*(_xlfn.IFNA(VLOOKUP($G$14,Prices!$B$2:$D$50,2,FALSE),0))*2</f>
        <v>335.25359999999995</v>
      </c>
      <c r="H20" s="10">
        <f t="shared" si="5"/>
        <v>1</v>
      </c>
      <c r="I20" s="10">
        <f>_xlfn.IFNA(VLOOKUP($I$14,Prices!$B$2:$D$50,2,FALSE),0)*H20</f>
        <v>526450</v>
      </c>
      <c r="J20" s="10">
        <f>(($G$11*24*1826)/1000)*(_xlfn.IFNA(VLOOKUP($J$14,Prices!$B$2:$D$50,2,FALSE),0))*C20*2</f>
        <v>14013.600480000001</v>
      </c>
      <c r="K20" s="10">
        <f t="shared" si="2"/>
        <v>1</v>
      </c>
      <c r="L20" s="10">
        <f>_xlfn.IFNA(VLOOKUP($K$14,Prices!$B$2:$D$50,2,FALSE),0)*K20</f>
        <v>1654.73</v>
      </c>
      <c r="M20" s="10">
        <f>(((_xlfn.IFNA(VLOOKUP($K$14,Prices!$B$2:$D$50,3,FALSE),0)*K20)*24*1826)/1000)*(_xlfn.IFNA(VLOOKUP($M$14,Prices!$B$2:$D$50,2,FALSE),0))*2</f>
        <v>536.40575999999999</v>
      </c>
      <c r="N20" s="10">
        <f t="shared" si="3"/>
        <v>557137.75983999996</v>
      </c>
      <c r="O20" s="10">
        <f t="shared" si="6"/>
        <v>12.71307411098941</v>
      </c>
      <c r="P20" s="10">
        <f>O20/(C20*PrCloudDet!$F$11)</f>
        <v>8.1032801176568058E-4</v>
      </c>
      <c r="Q20" s="18">
        <f>O20/(Sheet1!$M$7*C40)</f>
        <v>1.2554386663561987E-3</v>
      </c>
    </row>
    <row r="21" spans="2:18" s="10" customFormat="1" x14ac:dyDescent="0.25">
      <c r="B21" s="10">
        <v>100000</v>
      </c>
      <c r="C21" s="14">
        <f>_xlfn.CEILING.MATH(_xlfn.CEILING.MATH(B21/Sheet1!$M$7)/PrCloudDet!$F$12)</f>
        <v>7</v>
      </c>
      <c r="D21" s="10">
        <f t="shared" si="4"/>
        <v>82136.459999999992</v>
      </c>
      <c r="E21" s="12">
        <f t="shared" si="1"/>
        <v>1</v>
      </c>
      <c r="F21" s="10">
        <f>_xlfn.IFNA(VLOOKUP($E$14,Prices!$B$2:$D$50,2,FALSE),0)</f>
        <v>2413.9899999999998</v>
      </c>
      <c r="G21" s="10">
        <f>(((_xlfn.IFNA(VLOOKUP($E$14,Prices!$B$2:$D$50,3,FALSE),0)*E21)*24*1826)/1000)*(_xlfn.IFNA(VLOOKUP($G$14,Prices!$B$2:$D$50,2,FALSE),0))*2</f>
        <v>335.25359999999995</v>
      </c>
      <c r="H21" s="10">
        <f t="shared" si="5"/>
        <v>1</v>
      </c>
      <c r="I21" s="10">
        <f>_xlfn.IFNA(VLOOKUP($I$14,Prices!$B$2:$D$50,2,FALSE),0)*H21</f>
        <v>526450</v>
      </c>
      <c r="J21" s="10">
        <f>(($G$11*24*1826)/1000)*(_xlfn.IFNA(VLOOKUP($J$14,Prices!$B$2:$D$50,2,FALSE),0))*C21*2</f>
        <v>98095.203360000014</v>
      </c>
      <c r="K21" s="10">
        <f t="shared" si="2"/>
        <v>1</v>
      </c>
      <c r="L21" s="10">
        <f>_xlfn.IFNA(VLOOKUP($K$14,Prices!$B$2:$D$50,2,FALSE),0)*K21</f>
        <v>1654.73</v>
      </c>
      <c r="M21" s="10">
        <f>(((_xlfn.IFNA(VLOOKUP($K$14,Prices!$B$2:$D$50,3,FALSE),0)*K21)*24*1826)/1000)*(_xlfn.IFNA(VLOOKUP($M$14,Prices!$B$2:$D$50,2,FALSE),0))*2</f>
        <v>536.40575999999999</v>
      </c>
      <c r="N21" s="10">
        <f t="shared" si="3"/>
        <v>711622.04272000003</v>
      </c>
      <c r="O21" s="10">
        <f t="shared" si="6"/>
        <v>16.238180967506391</v>
      </c>
      <c r="P21" s="10">
        <f>O21/(C21*PrCloudDet!$F$11)</f>
        <v>1.4785962841104474E-4</v>
      </c>
      <c r="Q21" s="18">
        <f>O21/(Sheet1!$M$7*C41)</f>
        <v>1.6035492344274759E-4</v>
      </c>
    </row>
    <row r="22" spans="2:18" s="10" customFormat="1" x14ac:dyDescent="0.25">
      <c r="B22" s="10">
        <v>1000000</v>
      </c>
      <c r="C22" s="14">
        <f>_xlfn.CEILING.MATH(_xlfn.CEILING.MATH(B22/Sheet1!$M$7)/PrCloudDet!$F$12)</f>
        <v>66</v>
      </c>
      <c r="D22" s="10">
        <f t="shared" si="4"/>
        <v>774429.48</v>
      </c>
      <c r="E22" s="12">
        <f t="shared" si="1"/>
        <v>3</v>
      </c>
      <c r="F22" s="10">
        <f>_xlfn.IFNA(VLOOKUP($E$14,Prices!$B$2:$D$50,2,FALSE),0)</f>
        <v>2413.9899999999998</v>
      </c>
      <c r="G22" s="10">
        <f>(((_xlfn.IFNA(VLOOKUP($E$14,Prices!$B$2:$D$50,3,FALSE),0)*E22)*24*1826)/1000)*(_xlfn.IFNA(VLOOKUP($G$14,Prices!$B$2:$D$50,2,FALSE),0))*2</f>
        <v>1005.7608</v>
      </c>
      <c r="H22" s="10">
        <f t="shared" si="5"/>
        <v>1</v>
      </c>
      <c r="I22" s="10">
        <f>_xlfn.IFNA(VLOOKUP($I$14,Prices!$B$2:$D$50,2,FALSE),0)*H22</f>
        <v>526450</v>
      </c>
      <c r="J22" s="10">
        <f>(($G$11*24*1826)/1000)*(_xlfn.IFNA(VLOOKUP($J$14,Prices!$B$2:$D$50,2,FALSE),0))*C22*2</f>
        <v>924897.63168000011</v>
      </c>
      <c r="K22" s="10">
        <f t="shared" si="2"/>
        <v>2</v>
      </c>
      <c r="L22" s="10">
        <f>_xlfn.IFNA(VLOOKUP($K$14,Prices!$B$2:$D$50,2,FALSE),0)*K22</f>
        <v>3309.46</v>
      </c>
      <c r="M22" s="10">
        <f>(((_xlfn.IFNA(VLOOKUP($K$14,Prices!$B$2:$D$50,3,FALSE),0)*K22)*24*1826)/1000)*(_xlfn.IFNA(VLOOKUP($M$14,Prices!$B$2:$D$50,2,FALSE),0))*2</f>
        <v>1072.81152</v>
      </c>
      <c r="N22" s="10">
        <f t="shared" si="3"/>
        <v>2233579.1340000001</v>
      </c>
      <c r="O22" s="10">
        <f t="shared" si="6"/>
        <v>50.967030257393212</v>
      </c>
      <c r="P22" s="10">
        <f>O22/(C22*PrCloudDet!$F$11)</f>
        <v>4.9221593185751897E-5</v>
      </c>
      <c r="Q22" s="18">
        <f>O22/(Sheet1!$M$7*C42)</f>
        <v>5.0839240741864465E-5</v>
      </c>
    </row>
    <row r="23" spans="2:18" s="8" customFormat="1" x14ac:dyDescent="0.25">
      <c r="B23" s="18">
        <v>55675</v>
      </c>
      <c r="C23" s="18">
        <f>_xlfn.CEILING.MATH(_xlfn.CEILING.MATH(B23/Sheet1!$M$7)/PrCloudDet!$F$12)</f>
        <v>4</v>
      </c>
      <c r="D23" s="18">
        <f>$F$11*C23</f>
        <v>46935.119999999995</v>
      </c>
      <c r="E23" s="18">
        <f>_xlfn.CEILING.MATH((C23+(IF(_xlfn.CEILING.MATH(C23/28)&lt;=1,_xlfn.CEILING.MATH(C23/28),((_xlfn.CEILING.MATH(C23/28))*(_xlfn.CEILING.MATH(C23/28)-1))/2)))/28)</f>
        <v>1</v>
      </c>
      <c r="F23" s="18">
        <f>_xlfn.IFNA(VLOOKUP($E$14,Prices!$B$2:$D$50,2,FALSE),0)</f>
        <v>2413.9899999999998</v>
      </c>
      <c r="G23" s="18">
        <f>(((_xlfn.IFNA(VLOOKUP($E$14,Prices!$B$2:$D$50,3,FALSE),0)*E23)*24*1826)/1000)*(_xlfn.IFNA(VLOOKUP($G$14,Prices!$B$2:$D$50,2,FALSE),0))*2</f>
        <v>335.25359999999995</v>
      </c>
      <c r="H23" s="18">
        <f>_xlfn.CEILING.MATH(C23/1000)</f>
        <v>1</v>
      </c>
      <c r="I23" s="18">
        <f>_xlfn.IFNA(VLOOKUP($I$14,Prices!$B$2:$D$50,2,FALSE),0)*H23</f>
        <v>526450</v>
      </c>
      <c r="J23" s="18">
        <f>(($G$11*24*1826)/1000)*(_xlfn.IFNA(VLOOKUP($J$14,Prices!$B$2:$D$50,2,FALSE),0))*C23*2</f>
        <v>56054.401920000004</v>
      </c>
      <c r="K23" s="18">
        <f>_xlfn.CEILING.MATH(C23/42)</f>
        <v>1</v>
      </c>
      <c r="L23" s="18">
        <f>_xlfn.IFNA(VLOOKUP($K$14,Prices!$B$2:$D$50,2,FALSE),0)*K23</f>
        <v>1654.73</v>
      </c>
      <c r="M23" s="18">
        <f>(((_xlfn.IFNA(VLOOKUP($K$14,Prices!$B$2:$D$50,3,FALSE),0)*K23)*24*1826)/1000)*(_xlfn.IFNA(VLOOKUP($M$14,Prices!$B$2:$D$50,2,FALSE),0))*2</f>
        <v>536.40575999999999</v>
      </c>
      <c r="N23" s="18">
        <f>D23+F23+G23+I23+J23+L23+M23</f>
        <v>634379.90127999999</v>
      </c>
      <c r="O23" s="18">
        <f>N23/1826/24</f>
        <v>14.475627539247901</v>
      </c>
      <c r="P23" s="18">
        <f>O23/(C23*PrCloudDet!$F$11)</f>
        <v>2.3066817633037422E-4</v>
      </c>
      <c r="Q23" s="18">
        <f>O23/(Sheet1!$M$7*C43)</f>
        <v>2.5990799098033406E-4</v>
      </c>
      <c r="R23" s="8">
        <v>2.567546215831885E-4</v>
      </c>
    </row>
    <row r="24" spans="2:18" s="18" customFormat="1" x14ac:dyDescent="0.25"/>
    <row r="25" spans="2:18" s="18" customFormat="1" x14ac:dyDescent="0.25"/>
    <row r="26" spans="2:18" s="18" customFormat="1" x14ac:dyDescent="0.25"/>
    <row r="27" spans="2:18" s="18" customFormat="1" x14ac:dyDescent="0.25"/>
    <row r="28" spans="2:18" s="18" customFormat="1" x14ac:dyDescent="0.25"/>
    <row r="29" spans="2:18" s="18" customFormat="1" x14ac:dyDescent="0.25"/>
    <row r="30" spans="2:18" s="18" customFormat="1" x14ac:dyDescent="0.25"/>
    <row r="31" spans="2:18" s="18" customFormat="1" x14ac:dyDescent="0.25"/>
    <row r="32" spans="2:18" s="18" customFormat="1" x14ac:dyDescent="0.25"/>
    <row r="33" spans="2:13" s="18" customFormat="1" x14ac:dyDescent="0.25"/>
    <row r="34" spans="2:13" s="8" customFormat="1" x14ac:dyDescent="0.25"/>
    <row r="35" spans="2:13" ht="120" x14ac:dyDescent="0.25">
      <c r="B35" s="14" t="s">
        <v>97</v>
      </c>
      <c r="C35" s="2" t="s">
        <v>127</v>
      </c>
      <c r="D35" s="14" t="s">
        <v>128</v>
      </c>
      <c r="E35" s="14" t="s">
        <v>123</v>
      </c>
      <c r="F35" s="14" t="s">
        <v>124</v>
      </c>
      <c r="G35" s="14" t="s">
        <v>125</v>
      </c>
      <c r="H35" s="14" t="s">
        <v>104</v>
      </c>
      <c r="I35" s="14" t="s">
        <v>126</v>
      </c>
      <c r="J35" s="14" t="s">
        <v>108</v>
      </c>
      <c r="K35" s="14" t="s">
        <v>109</v>
      </c>
      <c r="L35" s="14" t="s">
        <v>110</v>
      </c>
    </row>
    <row r="36" spans="2:13" x14ac:dyDescent="0.25">
      <c r="B36" s="2">
        <f>B16</f>
        <v>1</v>
      </c>
      <c r="C36" s="2">
        <f>_xlfn.CEILING.MATH(B16/Sheet1!$M$7)</f>
        <v>1</v>
      </c>
      <c r="D36" s="2">
        <f t="shared" ref="D36:E43" si="7">C16</f>
        <v>1</v>
      </c>
      <c r="E36" s="15">
        <f t="shared" si="7"/>
        <v>11733.779999999999</v>
      </c>
      <c r="F36" s="15">
        <f>F16+G16</f>
        <v>2749.2435999999998</v>
      </c>
      <c r="G36" s="15">
        <f t="shared" ref="G36:H43" si="8">I16</f>
        <v>526450</v>
      </c>
      <c r="H36" s="15">
        <f t="shared" si="8"/>
        <v>14013.600480000001</v>
      </c>
      <c r="I36" s="15">
        <f>L16+M16</f>
        <v>2191.1357600000001</v>
      </c>
      <c r="J36" s="15">
        <f>N16</f>
        <v>557137.75983999996</v>
      </c>
      <c r="K36" s="15">
        <f>O16</f>
        <v>12.71307411098941</v>
      </c>
      <c r="L36" s="16">
        <f>P16</f>
        <v>8.1032801176568058E-4</v>
      </c>
      <c r="M36" s="16">
        <f>Q16</f>
        <v>5.0217546654247949E-3</v>
      </c>
    </row>
    <row r="37" spans="2:13" x14ac:dyDescent="0.25">
      <c r="B37" s="14">
        <f t="shared" ref="B37:B43" si="9">B17</f>
        <v>10</v>
      </c>
      <c r="C37" s="14">
        <f>_xlfn.CEILING.MATH(B17/Sheet1!$M$7)</f>
        <v>1</v>
      </c>
      <c r="D37" s="14">
        <f t="shared" si="7"/>
        <v>1</v>
      </c>
      <c r="E37" s="15">
        <f t="shared" si="7"/>
        <v>11733.779999999999</v>
      </c>
      <c r="F37" s="15">
        <f t="shared" ref="F37:F42" si="10">F17+G17</f>
        <v>2749.2435999999998</v>
      </c>
      <c r="G37" s="15">
        <f t="shared" si="8"/>
        <v>526450</v>
      </c>
      <c r="H37" s="15">
        <f t="shared" si="8"/>
        <v>14013.600480000001</v>
      </c>
      <c r="I37" s="15">
        <f t="shared" ref="I37:I42" si="11">L17+M17</f>
        <v>2191.1357600000001</v>
      </c>
      <c r="J37" s="15">
        <f t="shared" ref="J37:J42" si="12">N17</f>
        <v>557137.75983999996</v>
      </c>
      <c r="K37" s="15">
        <f t="shared" ref="K37:K42" si="13">O17</f>
        <v>12.71307411098941</v>
      </c>
      <c r="L37" s="16">
        <f t="shared" ref="L37:M42" si="14">P17</f>
        <v>8.1032801176568058E-4</v>
      </c>
      <c r="M37" s="16">
        <f t="shared" si="14"/>
        <v>5.0217546654247949E-3</v>
      </c>
    </row>
    <row r="38" spans="2:13" x14ac:dyDescent="0.25">
      <c r="B38" s="14">
        <f t="shared" si="9"/>
        <v>100</v>
      </c>
      <c r="C38" s="14">
        <f>_xlfn.CEILING.MATH(B18/Sheet1!$M$7)</f>
        <v>1</v>
      </c>
      <c r="D38" s="14">
        <f t="shared" si="7"/>
        <v>1</v>
      </c>
      <c r="E38" s="15">
        <f t="shared" si="7"/>
        <v>11733.779999999999</v>
      </c>
      <c r="F38" s="15">
        <f t="shared" si="10"/>
        <v>2749.2435999999998</v>
      </c>
      <c r="G38" s="15">
        <f t="shared" si="8"/>
        <v>526450</v>
      </c>
      <c r="H38" s="15">
        <f t="shared" si="8"/>
        <v>14013.600480000001</v>
      </c>
      <c r="I38" s="15">
        <f t="shared" si="11"/>
        <v>2191.1357600000001</v>
      </c>
      <c r="J38" s="15">
        <f t="shared" si="12"/>
        <v>557137.75983999996</v>
      </c>
      <c r="K38" s="15">
        <f t="shared" si="13"/>
        <v>12.71307411098941</v>
      </c>
      <c r="L38" s="16">
        <f t="shared" si="14"/>
        <v>8.1032801176568058E-4</v>
      </c>
      <c r="M38" s="16">
        <f t="shared" si="14"/>
        <v>5.0217546654247949E-3</v>
      </c>
    </row>
    <row r="39" spans="2:13" x14ac:dyDescent="0.25">
      <c r="B39" s="14">
        <f t="shared" si="9"/>
        <v>1000</v>
      </c>
      <c r="C39" s="14">
        <f>_xlfn.CEILING.MATH(B19/Sheet1!$M$7)</f>
        <v>1</v>
      </c>
      <c r="D39" s="14">
        <f t="shared" si="7"/>
        <v>1</v>
      </c>
      <c r="E39" s="15">
        <f t="shared" si="7"/>
        <v>11733.779999999999</v>
      </c>
      <c r="F39" s="15">
        <f t="shared" si="10"/>
        <v>2749.2435999999998</v>
      </c>
      <c r="G39" s="15">
        <f t="shared" si="8"/>
        <v>526450</v>
      </c>
      <c r="H39" s="15">
        <f t="shared" si="8"/>
        <v>14013.600480000001</v>
      </c>
      <c r="I39" s="15">
        <f t="shared" si="11"/>
        <v>2191.1357600000001</v>
      </c>
      <c r="J39" s="15">
        <f t="shared" si="12"/>
        <v>557137.75983999996</v>
      </c>
      <c r="K39" s="15">
        <f t="shared" si="13"/>
        <v>12.71307411098941</v>
      </c>
      <c r="L39" s="16">
        <f t="shared" si="14"/>
        <v>8.1032801176568058E-4</v>
      </c>
      <c r="M39" s="16">
        <f t="shared" si="14"/>
        <v>5.0217546654247949E-3</v>
      </c>
    </row>
    <row r="40" spans="2:13" x14ac:dyDescent="0.25">
      <c r="B40" s="14">
        <f t="shared" si="9"/>
        <v>10000</v>
      </c>
      <c r="C40" s="14">
        <f>_xlfn.CEILING.MATH(B20/Sheet1!$M$7)</f>
        <v>4</v>
      </c>
      <c r="D40" s="14">
        <f t="shared" si="7"/>
        <v>1</v>
      </c>
      <c r="E40" s="15">
        <f t="shared" si="7"/>
        <v>11733.779999999999</v>
      </c>
      <c r="F40" s="15">
        <f t="shared" si="10"/>
        <v>2749.2435999999998</v>
      </c>
      <c r="G40" s="15">
        <f t="shared" si="8"/>
        <v>526450</v>
      </c>
      <c r="H40" s="15">
        <f t="shared" si="8"/>
        <v>14013.600480000001</v>
      </c>
      <c r="I40" s="15">
        <f t="shared" si="11"/>
        <v>2191.1357600000001</v>
      </c>
      <c r="J40" s="15">
        <f t="shared" si="12"/>
        <v>557137.75983999996</v>
      </c>
      <c r="K40" s="15">
        <f t="shared" si="13"/>
        <v>12.71307411098941</v>
      </c>
      <c r="L40" s="16">
        <f t="shared" si="14"/>
        <v>8.1032801176568058E-4</v>
      </c>
      <c r="M40" s="16">
        <f t="shared" si="14"/>
        <v>1.2554386663561987E-3</v>
      </c>
    </row>
    <row r="41" spans="2:13" x14ac:dyDescent="0.25">
      <c r="B41" s="14">
        <f t="shared" si="9"/>
        <v>100000</v>
      </c>
      <c r="C41" s="14">
        <f>_xlfn.CEILING.MATH(B21/Sheet1!$M$7)</f>
        <v>40</v>
      </c>
      <c r="D41" s="14">
        <f t="shared" si="7"/>
        <v>7</v>
      </c>
      <c r="E41" s="15">
        <f t="shared" si="7"/>
        <v>82136.459999999992</v>
      </c>
      <c r="F41" s="15">
        <f t="shared" si="10"/>
        <v>2749.2435999999998</v>
      </c>
      <c r="G41" s="15">
        <f t="shared" si="8"/>
        <v>526450</v>
      </c>
      <c r="H41" s="15">
        <f t="shared" si="8"/>
        <v>98095.203360000014</v>
      </c>
      <c r="I41" s="15">
        <f t="shared" si="11"/>
        <v>2191.1357600000001</v>
      </c>
      <c r="J41" s="15">
        <f t="shared" si="12"/>
        <v>711622.04272000003</v>
      </c>
      <c r="K41" s="15">
        <f t="shared" si="13"/>
        <v>16.238180967506391</v>
      </c>
      <c r="L41" s="16">
        <f t="shared" si="14"/>
        <v>1.4785962841104474E-4</v>
      </c>
      <c r="M41" s="16">
        <f t="shared" si="14"/>
        <v>1.6035492344274759E-4</v>
      </c>
    </row>
    <row r="42" spans="2:13" x14ac:dyDescent="0.25">
      <c r="B42" s="14">
        <f t="shared" si="9"/>
        <v>1000000</v>
      </c>
      <c r="C42" s="14">
        <f>_xlfn.CEILING.MATH(B22/Sheet1!$M$7)</f>
        <v>396</v>
      </c>
      <c r="D42" s="14">
        <f t="shared" si="7"/>
        <v>66</v>
      </c>
      <c r="E42" s="15">
        <f t="shared" si="7"/>
        <v>774429.48</v>
      </c>
      <c r="F42" s="15">
        <f t="shared" si="10"/>
        <v>3419.7507999999998</v>
      </c>
      <c r="G42" s="15">
        <f t="shared" si="8"/>
        <v>526450</v>
      </c>
      <c r="H42" s="15">
        <f t="shared" si="8"/>
        <v>924897.63168000011</v>
      </c>
      <c r="I42" s="15">
        <f t="shared" si="11"/>
        <v>4382.2715200000002</v>
      </c>
      <c r="J42" s="15">
        <f t="shared" si="12"/>
        <v>2233579.1340000001</v>
      </c>
      <c r="K42" s="15">
        <f t="shared" si="13"/>
        <v>50.967030257393212</v>
      </c>
      <c r="L42" s="16">
        <f t="shared" si="14"/>
        <v>4.9221593185751897E-5</v>
      </c>
      <c r="M42" s="16">
        <f t="shared" si="14"/>
        <v>5.0839240741864465E-5</v>
      </c>
    </row>
    <row r="43" spans="2:13" x14ac:dyDescent="0.25">
      <c r="B43" s="18">
        <f t="shared" si="9"/>
        <v>55675</v>
      </c>
      <c r="C43" s="18">
        <f>_xlfn.CEILING.MATH(B23/Sheet1!$M$7)</f>
        <v>22</v>
      </c>
      <c r="D43" s="18">
        <f t="shared" si="7"/>
        <v>4</v>
      </c>
      <c r="E43" s="15">
        <f t="shared" si="7"/>
        <v>46935.119999999995</v>
      </c>
      <c r="F43" s="15">
        <f>F23+G23</f>
        <v>2749.2435999999998</v>
      </c>
      <c r="G43" s="15">
        <f t="shared" si="8"/>
        <v>526450</v>
      </c>
      <c r="H43" s="15">
        <f t="shared" si="8"/>
        <v>56054.401920000004</v>
      </c>
      <c r="I43" s="15">
        <f>L23+M23</f>
        <v>2191.1357600000001</v>
      </c>
      <c r="J43" s="15">
        <f>N23</f>
        <v>634379.90127999999</v>
      </c>
      <c r="K43" s="15">
        <f>O23</f>
        <v>14.475627539247901</v>
      </c>
      <c r="L43" s="16">
        <f>P23</f>
        <v>2.3066817633037422E-4</v>
      </c>
      <c r="M43" s="16">
        <f>Q23</f>
        <v>2.5990799098033406E-4</v>
      </c>
    </row>
  </sheetData>
  <mergeCells count="2">
    <mergeCell ref="E14:F14"/>
    <mergeCell ref="K14:L1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R47"/>
  <sheetViews>
    <sheetView topLeftCell="B20" zoomScale="70" zoomScaleNormal="70" workbookViewId="0">
      <selection activeCell="B23" sqref="B23"/>
    </sheetView>
  </sheetViews>
  <sheetFormatPr defaultRowHeight="15" x14ac:dyDescent="0.25"/>
  <cols>
    <col min="1" max="1" width="9.140625" style="2"/>
    <col min="2" max="2" width="18" style="2" customWidth="1"/>
    <col min="3" max="3" width="29.7109375" style="2" customWidth="1"/>
    <col min="4" max="4" width="14.85546875" style="2" customWidth="1"/>
    <col min="5" max="5" width="27.28515625" style="2" customWidth="1"/>
    <col min="6" max="6" width="15.5703125" style="2" customWidth="1"/>
    <col min="7" max="7" width="11.5703125" style="2" bestFit="1" customWidth="1"/>
    <col min="8" max="8" width="11.7109375" style="2" bestFit="1" customWidth="1"/>
    <col min="9" max="9" width="9.28515625" style="2" bestFit="1" customWidth="1"/>
    <col min="10" max="10" width="12.7109375" style="2" bestFit="1" customWidth="1"/>
    <col min="11" max="11" width="9.28515625" style="2" bestFit="1" customWidth="1"/>
    <col min="12" max="12" width="13.5703125" style="2" bestFit="1" customWidth="1"/>
    <col min="13" max="13" width="13" style="2" bestFit="1" customWidth="1"/>
    <col min="14" max="14" width="9.140625" style="2"/>
    <col min="15" max="15" width="10.5703125" style="2" bestFit="1" customWidth="1"/>
    <col min="16" max="17" width="11.5703125" style="2" bestFit="1" customWidth="1"/>
    <col min="18" max="16384" width="9.140625" style="2"/>
  </cols>
  <sheetData>
    <row r="1" spans="2:17" ht="45" x14ac:dyDescent="0.25">
      <c r="B1" s="2" t="s">
        <v>28</v>
      </c>
    </row>
    <row r="3" spans="2:17" ht="45" x14ac:dyDescent="0.25">
      <c r="B3" s="2" t="s">
        <v>27</v>
      </c>
      <c r="C3" s="2" t="s">
        <v>33</v>
      </c>
      <c r="D3" s="2" t="s">
        <v>30</v>
      </c>
      <c r="E3" s="2" t="s">
        <v>31</v>
      </c>
      <c r="F3" s="2" t="s">
        <v>32</v>
      </c>
      <c r="G3" s="3" t="s">
        <v>89</v>
      </c>
    </row>
    <row r="4" spans="2:17" ht="30" x14ac:dyDescent="0.25">
      <c r="B4" s="2" t="s">
        <v>40</v>
      </c>
      <c r="C4" s="2" t="str">
        <f>PrCloudQty!G2</f>
        <v>NORCO RPC-170 Black 1U Rackmount Server Chassis</v>
      </c>
      <c r="D4" s="2">
        <v>1</v>
      </c>
      <c r="E4" s="8">
        <f>_xlfn.IFNA(VLOOKUP(TEXT(C4,"text"),Prices!$B$2:$C$300,2,FALSE),0)</f>
        <v>96.84</v>
      </c>
      <c r="F4" s="2">
        <f t="shared" ref="F4:F9" si="0">_xlfn.IFNA(D4*E4,0)</f>
        <v>96.84</v>
      </c>
      <c r="G4" s="3">
        <f>_xlfn.IFNA(VLOOKUP(TEXT(C4,"text"),Prices!$B$2:$D$300,3,FALSE)*D4,0)</f>
        <v>10</v>
      </c>
    </row>
    <row r="5" spans="2:17" ht="60" x14ac:dyDescent="0.25">
      <c r="B5" s="2" t="s">
        <v>26</v>
      </c>
      <c r="C5" s="2" t="str">
        <f>PrCloudDet!G2</f>
        <v>Intel Xeon E5-2680 v3 Haswell 2.5 GHz LGA 2011-3 120W BX80644E52680V3 Server Processor</v>
      </c>
      <c r="D5" s="2">
        <f>PrCloudQty!G4</f>
        <v>2</v>
      </c>
      <c r="E5" s="8">
        <f>_xlfn.IFNA(VLOOKUP(TEXT(C5,"text"),Prices!$B$2:$C$300,2,FALSE),0)</f>
        <v>1719.99</v>
      </c>
      <c r="F5" s="3">
        <f t="shared" si="0"/>
        <v>3439.98</v>
      </c>
      <c r="G5" s="3">
        <f>_xlfn.IFNA(VLOOKUP(TEXT(C5,"text"),Prices!$B$2:$D$300,3,FALSE)*D5,0)</f>
        <v>240</v>
      </c>
    </row>
    <row r="6" spans="2:17" ht="75" x14ac:dyDescent="0.25">
      <c r="B6" s="2" t="s">
        <v>29</v>
      </c>
      <c r="C6" s="2" t="str">
        <f>PrCloudQty!G5</f>
        <v>Black Diamond Memory 32GB 288-Pin DDR4 SDRAM ECC Registered DDR4 2133 (PC4 17000) Server Memory Model BD32G2133MQR26</v>
      </c>
      <c r="D6" s="2">
        <f>PrCloudQty!G6</f>
        <v>23</v>
      </c>
      <c r="E6" s="8">
        <f>_xlfn.IFNA(VLOOKUP(TEXT(C6,"text"),Prices!$B$2:$C$300,2,FALSE),0)</f>
        <v>214.99</v>
      </c>
      <c r="F6" s="3">
        <f t="shared" si="0"/>
        <v>4944.7700000000004</v>
      </c>
      <c r="G6" s="3">
        <f>_xlfn.IFNA(VLOOKUP(TEXT(C6,"text"),Prices!$B$2:$D$300,3,FALSE)*D6,0)</f>
        <v>115</v>
      </c>
    </row>
    <row r="7" spans="2:17" ht="45" x14ac:dyDescent="0.25">
      <c r="B7" s="2" t="s">
        <v>37</v>
      </c>
      <c r="C7" s="2" t="str">
        <f>PrCloudQty!G7</f>
        <v>GIGABYTE MD80-TM0 E-ATX / SSI EEB Server Motherboard Dual LGA 2011-3 Intel C612</v>
      </c>
      <c r="D7" s="2">
        <v>1</v>
      </c>
      <c r="E7" s="8">
        <f>_xlfn.IFNA(VLOOKUP(TEXT(C7,"text"),Prices!$B$2:$C$300,2,FALSE),0)</f>
        <v>659.99</v>
      </c>
      <c r="F7" s="3">
        <f t="shared" si="0"/>
        <v>659.99</v>
      </c>
      <c r="G7" s="3">
        <f>_xlfn.IFNA(VLOOKUP(TEXT(C7,"text"),Prices!$B$2:$D$300,3,FALSE)*D7,0)</f>
        <v>25</v>
      </c>
    </row>
    <row r="8" spans="2:17" ht="45" x14ac:dyDescent="0.25">
      <c r="B8" s="2" t="s">
        <v>34</v>
      </c>
      <c r="C8" s="2" t="str">
        <f>PrCloudQty!G8</f>
        <v>Black Diamond Memory Sonic Series BDSSDS1T 2.5" 1TB SATA III TLC Internal Solid State Drive</v>
      </c>
      <c r="D8" s="2">
        <f>PrCloudQty!G9</f>
        <v>2</v>
      </c>
      <c r="E8" s="8">
        <f>_xlfn.IFNA(VLOOKUP(TEXT(C8,"text"),Prices!$B$2:$C$300,2,FALSE),0)</f>
        <v>259.99</v>
      </c>
      <c r="F8" s="3">
        <f t="shared" si="0"/>
        <v>519.98</v>
      </c>
      <c r="G8" s="3">
        <f>_xlfn.IFNA(VLOOKUP(TEXT(C8,"text"),Prices!$B$2:$D$300,3,FALSE)*D8,0)</f>
        <v>50</v>
      </c>
    </row>
    <row r="9" spans="2:17" x14ac:dyDescent="0.25">
      <c r="B9" s="2" t="s">
        <v>35</v>
      </c>
      <c r="E9" s="8">
        <f>_xlfn.IFNA(VLOOKUP(TEXT(C9,"text"),Prices!$B$2:$C$300,2,FALSE),0)</f>
        <v>0</v>
      </c>
      <c r="F9" s="3">
        <f t="shared" si="0"/>
        <v>0</v>
      </c>
      <c r="G9" s="3">
        <f>_xlfn.IFNA(VLOOKUP(TEXT(C9,"text"),Prices!$B$2:$D$300,3,FALSE)*D9,0)</f>
        <v>0</v>
      </c>
    </row>
    <row r="10" spans="2:17" s="7" customFormat="1" x14ac:dyDescent="0.25"/>
    <row r="11" spans="2:17" s="8" customFormat="1" x14ac:dyDescent="0.25">
      <c r="F11" s="8">
        <f>SUM(F4:F10)</f>
        <v>9661.56</v>
      </c>
      <c r="G11" s="8">
        <f>SUM(G4:G10)</f>
        <v>440</v>
      </c>
    </row>
    <row r="12" spans="2:17" s="8" customFormat="1" x14ac:dyDescent="0.25"/>
    <row r="13" spans="2:17" s="10" customFormat="1" x14ac:dyDescent="0.25"/>
    <row r="14" spans="2:17" s="10" customFormat="1" ht="33.75" customHeight="1" x14ac:dyDescent="0.25">
      <c r="E14" s="19" t="str">
        <f>PrCloudQty!B19</f>
        <v>NETGEAR ProSAFE XS728T 28-Port 10-Gigabit Ethernet Smart Managed Switch (XS728T) - Lifetime Warranty</v>
      </c>
      <c r="F14" s="19"/>
      <c r="G14" s="10" t="s">
        <v>105</v>
      </c>
      <c r="I14" s="10" t="s">
        <v>39</v>
      </c>
      <c r="J14" s="10" t="s">
        <v>105</v>
      </c>
      <c r="K14" s="19" t="str">
        <f>PrCloudQty!B15</f>
        <v>APC AR3300 42U NetShelter SX 600mm Wide x 1200mm Deep Enclosure</v>
      </c>
      <c r="L14" s="19"/>
      <c r="M14" s="10" t="s">
        <v>105</v>
      </c>
    </row>
    <row r="15" spans="2:17" s="10" customFormat="1" ht="60" x14ac:dyDescent="0.25">
      <c r="B15" s="10" t="s">
        <v>97</v>
      </c>
      <c r="C15" s="10" t="s">
        <v>98</v>
      </c>
      <c r="D15" s="10" t="s">
        <v>99</v>
      </c>
      <c r="E15" s="10" t="s">
        <v>102</v>
      </c>
      <c r="F15" s="10" t="s">
        <v>100</v>
      </c>
      <c r="G15" s="10" t="s">
        <v>103</v>
      </c>
      <c r="H15" s="10" t="s">
        <v>122</v>
      </c>
      <c r="I15" s="10" t="s">
        <v>101</v>
      </c>
      <c r="J15" s="10" t="s">
        <v>104</v>
      </c>
      <c r="K15" s="10" t="s">
        <v>79</v>
      </c>
      <c r="L15" s="10" t="s">
        <v>106</v>
      </c>
      <c r="M15" s="10" t="s">
        <v>107</v>
      </c>
      <c r="N15" s="10" t="s">
        <v>108</v>
      </c>
      <c r="O15" s="10" t="s">
        <v>109</v>
      </c>
      <c r="P15" s="10" t="s">
        <v>110</v>
      </c>
    </row>
    <row r="16" spans="2:17" s="10" customFormat="1" x14ac:dyDescent="0.25">
      <c r="B16" s="10">
        <v>1</v>
      </c>
      <c r="C16" s="14">
        <f>_xlfn.CEILING.MATH(_xlfn.CEILING.MATH(B16/Sheet1!$M$8)/PrCloudDet!$G$12)</f>
        <v>1</v>
      </c>
      <c r="D16" s="10">
        <f>$F$11*C16</f>
        <v>9661.56</v>
      </c>
      <c r="E16" s="12">
        <f t="shared" ref="E16:E22" si="1">_xlfn.CEILING.MATH((C16+(IF(_xlfn.CEILING.MATH(C16/28)&lt;=1,_xlfn.CEILING.MATH(C16/28),((_xlfn.CEILING.MATH(C16/28))*(_xlfn.CEILING.MATH(C16/28)-1))/2)))/28)</f>
        <v>1</v>
      </c>
      <c r="F16" s="10">
        <f>_xlfn.IFNA(VLOOKUP($E$14,Prices!$B$2:$D$50,2,FALSE),0)*E16</f>
        <v>2413.9899999999998</v>
      </c>
      <c r="G16" s="10">
        <f>(((_xlfn.IFNA(VLOOKUP($E$14,Prices!$B$2:$D$50,3,FALSE),0)*E16)*24*1826)/1000)*(_xlfn.IFNA(VLOOKUP($G$14,Prices!$B$2:$D$50,2,FALSE),0))*2</f>
        <v>335.25359999999995</v>
      </c>
      <c r="H16" s="10">
        <f>_xlfn.CEILING.MATH(C16/1000)</f>
        <v>1</v>
      </c>
      <c r="I16" s="10">
        <f>_xlfn.IFNA(VLOOKUP($I$14,Prices!$B$2:$D$50,2,FALSE),0)*H16</f>
        <v>526450</v>
      </c>
      <c r="J16" s="10">
        <f>(($G$11*24*1826)/1000)*(_xlfn.IFNA(VLOOKUP($J$14,Prices!$B$2:$D$50,2,FALSE),0))*C16*2</f>
        <v>5900.4633600000006</v>
      </c>
      <c r="K16" s="10">
        <f t="shared" ref="K16:K22" si="2">_xlfn.CEILING.MATH(C16/42)</f>
        <v>1</v>
      </c>
      <c r="L16" s="10">
        <f>_xlfn.IFNA(VLOOKUP($K$14,Prices!$B$2:$D$50,2,FALSE),0)*K16</f>
        <v>1654.73</v>
      </c>
      <c r="M16" s="10">
        <f>(((_xlfn.IFNA(VLOOKUP($K$14,Prices!$B$2:$D$50,3,FALSE),0)*K16)*24*1826)/1000)*(_xlfn.IFNA(VLOOKUP($M$14,Prices!$B$2:$D$50,2,FALSE),0))*2</f>
        <v>536.40575999999999</v>
      </c>
      <c r="N16" s="10">
        <f t="shared" ref="N16:N22" si="3">D16+F16+G16+I16+J16+L16+M16</f>
        <v>546952.40272000001</v>
      </c>
      <c r="O16" s="10">
        <f>N16/1826/24</f>
        <v>12.480659061701351</v>
      </c>
      <c r="P16" s="10">
        <f>O16/(C16*PrCloudDet!$G$11)</f>
        <v>1.3000686522605574E-2</v>
      </c>
      <c r="Q16" s="18">
        <f>O16/(Sheet1!$M$8*C36)</f>
        <v>7.8004119135633446E-2</v>
      </c>
    </row>
    <row r="17" spans="2:18" s="10" customFormat="1" x14ac:dyDescent="0.25">
      <c r="B17" s="10">
        <v>10</v>
      </c>
      <c r="C17" s="14">
        <f>_xlfn.CEILING.MATH(_xlfn.CEILING.MATH(B17/Sheet1!$M$8)/PrCloudDet!$G$12)</f>
        <v>1</v>
      </c>
      <c r="D17" s="10">
        <f t="shared" ref="D17:D22" si="4">$F$11*C17</f>
        <v>9661.56</v>
      </c>
      <c r="E17" s="12">
        <f t="shared" si="1"/>
        <v>1</v>
      </c>
      <c r="F17" s="10">
        <f>_xlfn.IFNA(VLOOKUP($E$14,Prices!$B$2:$D$50,2,FALSE),0)</f>
        <v>2413.9899999999998</v>
      </c>
      <c r="G17" s="10">
        <f>(((_xlfn.IFNA(VLOOKUP($E$14,Prices!$B$2:$D$50,3,FALSE),0)*E17)*24*1826)/1000)*(_xlfn.IFNA(VLOOKUP($G$14,Prices!$B$2:$D$50,2,FALSE),0))*2</f>
        <v>335.25359999999995</v>
      </c>
      <c r="H17" s="10">
        <f t="shared" ref="H17:H22" si="5">_xlfn.CEILING.MATH(C17/1000)</f>
        <v>1</v>
      </c>
      <c r="I17" s="10">
        <f>_xlfn.IFNA(VLOOKUP($I$14,Prices!$B$2:$D$50,2,FALSE),0)*H17</f>
        <v>526450</v>
      </c>
      <c r="J17" s="10">
        <f>(($G$11*24*1826)/1000)*(_xlfn.IFNA(VLOOKUP($J$14,Prices!$B$2:$D$50,2,FALSE),0))*C17*2</f>
        <v>5900.4633600000006</v>
      </c>
      <c r="K17" s="10">
        <f t="shared" si="2"/>
        <v>1</v>
      </c>
      <c r="L17" s="10">
        <f>_xlfn.IFNA(VLOOKUP($K$14,Prices!$B$2:$D$50,2,FALSE),0)*K17</f>
        <v>1654.73</v>
      </c>
      <c r="M17" s="10">
        <f>(((_xlfn.IFNA(VLOOKUP($K$14,Prices!$B$2:$D$50,3,FALSE),0)*K17)*24*1826)/1000)*(_xlfn.IFNA(VLOOKUP($M$14,Prices!$B$2:$D$50,2,FALSE),0))*2</f>
        <v>536.40575999999999</v>
      </c>
      <c r="N17" s="10">
        <f t="shared" si="3"/>
        <v>546952.40272000001</v>
      </c>
      <c r="O17" s="10">
        <f t="shared" ref="O17:O22" si="6">N17/1826/24</f>
        <v>12.480659061701351</v>
      </c>
      <c r="P17" s="10">
        <f>O17/(C17*PrCloudDet!$G$11)</f>
        <v>1.3000686522605574E-2</v>
      </c>
      <c r="Q17" s="18">
        <f>O17/(Sheet1!$M$8*C37)</f>
        <v>7.8004119135633446E-2</v>
      </c>
    </row>
    <row r="18" spans="2:18" s="10" customFormat="1" x14ac:dyDescent="0.25">
      <c r="B18" s="10">
        <v>100</v>
      </c>
      <c r="C18" s="14">
        <f>_xlfn.CEILING.MATH(_xlfn.CEILING.MATH(B18/Sheet1!$M$8)/PrCloudDet!$G$12)</f>
        <v>1</v>
      </c>
      <c r="D18" s="10">
        <f t="shared" si="4"/>
        <v>9661.56</v>
      </c>
      <c r="E18" s="12">
        <f t="shared" si="1"/>
        <v>1</v>
      </c>
      <c r="F18" s="10">
        <f>_xlfn.IFNA(VLOOKUP($E$14,Prices!$B$2:$D$50,2,FALSE),0)</f>
        <v>2413.9899999999998</v>
      </c>
      <c r="G18" s="10">
        <f>(((_xlfn.IFNA(VLOOKUP($E$14,Prices!$B$2:$D$50,3,FALSE),0)*E18)*24*1826)/1000)*(_xlfn.IFNA(VLOOKUP($G$14,Prices!$B$2:$D$50,2,FALSE),0))*2</f>
        <v>335.25359999999995</v>
      </c>
      <c r="H18" s="10">
        <f t="shared" si="5"/>
        <v>1</v>
      </c>
      <c r="I18" s="10">
        <f>_xlfn.IFNA(VLOOKUP($I$14,Prices!$B$2:$D$50,2,FALSE),0)*H18</f>
        <v>526450</v>
      </c>
      <c r="J18" s="10">
        <f>(($G$11*24*1826)/1000)*(_xlfn.IFNA(VLOOKUP($J$14,Prices!$B$2:$D$50,2,FALSE),0))*C18*2</f>
        <v>5900.4633600000006</v>
      </c>
      <c r="K18" s="10">
        <f t="shared" si="2"/>
        <v>1</v>
      </c>
      <c r="L18" s="10">
        <f>_xlfn.IFNA(VLOOKUP($K$14,Prices!$B$2:$D$50,2,FALSE),0)*K18</f>
        <v>1654.73</v>
      </c>
      <c r="M18" s="10">
        <f>(((_xlfn.IFNA(VLOOKUP($K$14,Prices!$B$2:$D$50,3,FALSE),0)*K18)*24*1826)/1000)*(_xlfn.IFNA(VLOOKUP($M$14,Prices!$B$2:$D$50,2,FALSE),0))*2</f>
        <v>536.40575999999999</v>
      </c>
      <c r="N18" s="10">
        <f t="shared" si="3"/>
        <v>546952.40272000001</v>
      </c>
      <c r="O18" s="10">
        <f t="shared" si="6"/>
        <v>12.480659061701351</v>
      </c>
      <c r="P18" s="10">
        <f>O18/(C18*PrCloudDet!$G$11)</f>
        <v>1.3000686522605574E-2</v>
      </c>
      <c r="Q18" s="18">
        <f>O18/(Sheet1!$M$8*C38)</f>
        <v>7.8004119135633446E-2</v>
      </c>
    </row>
    <row r="19" spans="2:18" s="10" customFormat="1" x14ac:dyDescent="0.25">
      <c r="B19" s="10">
        <v>1000</v>
      </c>
      <c r="C19" s="14">
        <f>_xlfn.CEILING.MATH(_xlfn.CEILING.MATH(B19/Sheet1!$M$8)/PrCloudDet!$G$12)</f>
        <v>2</v>
      </c>
      <c r="D19" s="10">
        <f t="shared" si="4"/>
        <v>19323.12</v>
      </c>
      <c r="E19" s="12">
        <f t="shared" si="1"/>
        <v>1</v>
      </c>
      <c r="F19" s="10">
        <f>_xlfn.IFNA(VLOOKUP($E$14,Prices!$B$2:$D$50,2,FALSE),0)</f>
        <v>2413.9899999999998</v>
      </c>
      <c r="G19" s="10">
        <f>(((_xlfn.IFNA(VLOOKUP($E$14,Prices!$B$2:$D$50,3,FALSE),0)*E19)*24*1826)/1000)*(_xlfn.IFNA(VLOOKUP($G$14,Prices!$B$2:$D$50,2,FALSE),0))*2</f>
        <v>335.25359999999995</v>
      </c>
      <c r="H19" s="10">
        <f t="shared" si="5"/>
        <v>1</v>
      </c>
      <c r="I19" s="10">
        <f>_xlfn.IFNA(VLOOKUP($I$14,Prices!$B$2:$D$50,2,FALSE),0)*H19</f>
        <v>526450</v>
      </c>
      <c r="J19" s="10">
        <f>(($G$11*24*1826)/1000)*(_xlfn.IFNA(VLOOKUP($J$14,Prices!$B$2:$D$50,2,FALSE),0))*C19*2</f>
        <v>11800.926720000001</v>
      </c>
      <c r="K19" s="10">
        <f t="shared" si="2"/>
        <v>1</v>
      </c>
      <c r="L19" s="10">
        <f>_xlfn.IFNA(VLOOKUP($K$14,Prices!$B$2:$D$50,2,FALSE),0)*K19</f>
        <v>1654.73</v>
      </c>
      <c r="M19" s="10">
        <f>(((_xlfn.IFNA(VLOOKUP($K$14,Prices!$B$2:$D$50,3,FALSE),0)*K19)*24*1826)/1000)*(_xlfn.IFNA(VLOOKUP($M$14,Prices!$B$2:$D$50,2,FALSE),0))*2</f>
        <v>536.40575999999999</v>
      </c>
      <c r="N19" s="10">
        <f t="shared" si="3"/>
        <v>562514.42608</v>
      </c>
      <c r="O19" s="10">
        <f t="shared" si="6"/>
        <v>12.835761821832785</v>
      </c>
      <c r="P19" s="10">
        <f>O19/(C19*PrCloudDet!$G$11)</f>
        <v>6.6852926155379086E-3</v>
      </c>
      <c r="Q19" s="18">
        <f>O19/(Sheet1!$M$8*C39)</f>
        <v>1.1460501626636414E-2</v>
      </c>
    </row>
    <row r="20" spans="2:18" s="10" customFormat="1" x14ac:dyDescent="0.25">
      <c r="B20" s="10">
        <v>10000</v>
      </c>
      <c r="C20" s="14">
        <f>_xlfn.CEILING.MATH(_xlfn.CEILING.MATH(B20/Sheet1!$M$8)/PrCloudDet!$G$12)</f>
        <v>11</v>
      </c>
      <c r="D20" s="10">
        <f t="shared" si="4"/>
        <v>106277.15999999999</v>
      </c>
      <c r="E20" s="12">
        <f t="shared" si="1"/>
        <v>1</v>
      </c>
      <c r="F20" s="10">
        <f>_xlfn.IFNA(VLOOKUP($E$14,Prices!$B$2:$D$50,2,FALSE),0)</f>
        <v>2413.9899999999998</v>
      </c>
      <c r="G20" s="10">
        <f>(((_xlfn.IFNA(VLOOKUP($E$14,Prices!$B$2:$D$50,3,FALSE),0)*E20)*24*1826)/1000)*(_xlfn.IFNA(VLOOKUP($G$14,Prices!$B$2:$D$50,2,FALSE),0))*2</f>
        <v>335.25359999999995</v>
      </c>
      <c r="H20" s="10">
        <f t="shared" si="5"/>
        <v>1</v>
      </c>
      <c r="I20" s="10">
        <f>_xlfn.IFNA(VLOOKUP($I$14,Prices!$B$2:$D$50,2,FALSE),0)*H20</f>
        <v>526450</v>
      </c>
      <c r="J20" s="10">
        <f>(($G$11*24*1826)/1000)*(_xlfn.IFNA(VLOOKUP($J$14,Prices!$B$2:$D$50,2,FALSE),0))*C20*2</f>
        <v>64905.09696000001</v>
      </c>
      <c r="K20" s="10">
        <f t="shared" si="2"/>
        <v>1</v>
      </c>
      <c r="L20" s="10">
        <f>_xlfn.IFNA(VLOOKUP($K$14,Prices!$B$2:$D$50,2,FALSE),0)*K20</f>
        <v>1654.73</v>
      </c>
      <c r="M20" s="10">
        <f>(((_xlfn.IFNA(VLOOKUP($K$14,Prices!$B$2:$D$50,3,FALSE),0)*K20)*24*1826)/1000)*(_xlfn.IFNA(VLOOKUP($M$14,Prices!$B$2:$D$50,2,FALSE),0))*2</f>
        <v>536.40575999999999</v>
      </c>
      <c r="N20" s="10">
        <f t="shared" si="3"/>
        <v>702572.63631999993</v>
      </c>
      <c r="O20" s="10">
        <f t="shared" si="6"/>
        <v>16.031686663015698</v>
      </c>
      <c r="P20" s="10">
        <f>O20/(C20*PrCloudDet!$G$11)</f>
        <v>1.5181521461189109E-3</v>
      </c>
      <c r="Q20" s="18">
        <f>O20/(Sheet1!$M$8*C40)</f>
        <v>1.5904451054579065E-3</v>
      </c>
    </row>
    <row r="21" spans="2:18" s="10" customFormat="1" x14ac:dyDescent="0.25">
      <c r="B21" s="10">
        <v>100000</v>
      </c>
      <c r="C21" s="14">
        <f>_xlfn.CEILING.MATH(_xlfn.CEILING.MATH(B21/Sheet1!$M$8)/PrCloudDet!$G$12)</f>
        <v>105</v>
      </c>
      <c r="D21" s="10">
        <f t="shared" si="4"/>
        <v>1014463.7999999999</v>
      </c>
      <c r="E21" s="12">
        <f t="shared" si="1"/>
        <v>4</v>
      </c>
      <c r="F21" s="10">
        <f>_xlfn.IFNA(VLOOKUP($E$14,Prices!$B$2:$D$50,2,FALSE),0)</f>
        <v>2413.9899999999998</v>
      </c>
      <c r="G21" s="10">
        <f>(((_xlfn.IFNA(VLOOKUP($E$14,Prices!$B$2:$D$50,3,FALSE),0)*E21)*24*1826)/1000)*(_xlfn.IFNA(VLOOKUP($G$14,Prices!$B$2:$D$50,2,FALSE),0))*2</f>
        <v>1341.0143999999998</v>
      </c>
      <c r="H21" s="10">
        <f t="shared" si="5"/>
        <v>1</v>
      </c>
      <c r="I21" s="10">
        <f>_xlfn.IFNA(VLOOKUP($I$14,Prices!$B$2:$D$50,2,FALSE),0)*H21</f>
        <v>526450</v>
      </c>
      <c r="J21" s="10">
        <f>(($G$11*24*1826)/1000)*(_xlfn.IFNA(VLOOKUP($J$14,Prices!$B$2:$D$50,2,FALSE),0))*C21*2</f>
        <v>619548.65280000004</v>
      </c>
      <c r="K21" s="10">
        <f t="shared" si="2"/>
        <v>3</v>
      </c>
      <c r="L21" s="10">
        <f>_xlfn.IFNA(VLOOKUP($K$14,Prices!$B$2:$D$50,2,FALSE),0)*K21</f>
        <v>4964.1900000000005</v>
      </c>
      <c r="M21" s="10">
        <f>(((_xlfn.IFNA(VLOOKUP($K$14,Prices!$B$2:$D$50,3,FALSE),0)*K21)*24*1826)/1000)*(_xlfn.IFNA(VLOOKUP($M$14,Prices!$B$2:$D$50,2,FALSE),0))*2</f>
        <v>1609.2172800000001</v>
      </c>
      <c r="N21" s="10">
        <f t="shared" si="3"/>
        <v>2170790.86448</v>
      </c>
      <c r="O21" s="10">
        <f t="shared" si="6"/>
        <v>49.534293183643662</v>
      </c>
      <c r="P21" s="10">
        <f>O21/(C21*PrCloudDet!$G$11)</f>
        <v>4.9141163872662365E-4</v>
      </c>
      <c r="Q21" s="18">
        <f>O21/(Sheet1!$M$8*C41)</f>
        <v>4.9534293183643664E-4</v>
      </c>
    </row>
    <row r="22" spans="2:18" s="10" customFormat="1" x14ac:dyDescent="0.25">
      <c r="B22" s="10">
        <v>1000000</v>
      </c>
      <c r="C22" s="14">
        <f>_xlfn.CEILING.MATH(_xlfn.CEILING.MATH(B22/Sheet1!$M$8)/PrCloudDet!$G$12)</f>
        <v>1042</v>
      </c>
      <c r="D22" s="10">
        <f t="shared" si="4"/>
        <v>10067345.52</v>
      </c>
      <c r="E22" s="12">
        <f t="shared" si="1"/>
        <v>63</v>
      </c>
      <c r="F22" s="10">
        <f>_xlfn.IFNA(VLOOKUP($E$14,Prices!$B$2:$D$50,2,FALSE),0)</f>
        <v>2413.9899999999998</v>
      </c>
      <c r="G22" s="10">
        <f>(((_xlfn.IFNA(VLOOKUP($E$14,Prices!$B$2:$D$50,3,FALSE),0)*E22)*24*1826)/1000)*(_xlfn.IFNA(VLOOKUP($G$14,Prices!$B$2:$D$50,2,FALSE),0))*2</f>
        <v>21120.9768</v>
      </c>
      <c r="H22" s="10">
        <f t="shared" si="5"/>
        <v>2</v>
      </c>
      <c r="I22" s="10">
        <f>_xlfn.IFNA(VLOOKUP($I$14,Prices!$B$2:$D$50,2,FALSE),0)*H22</f>
        <v>1052900</v>
      </c>
      <c r="J22" s="10">
        <f>(($G$11*24*1826)/1000)*(_xlfn.IFNA(VLOOKUP($J$14,Prices!$B$2:$D$50,2,FALSE),0))*C22*2</f>
        <v>6148282.8211200004</v>
      </c>
      <c r="K22" s="10">
        <f t="shared" si="2"/>
        <v>25</v>
      </c>
      <c r="L22" s="10">
        <f>_xlfn.IFNA(VLOOKUP($K$14,Prices!$B$2:$D$50,2,FALSE),0)*K22</f>
        <v>41368.25</v>
      </c>
      <c r="M22" s="10">
        <f>(((_xlfn.IFNA(VLOOKUP($K$14,Prices!$B$2:$D$50,3,FALSE),0)*K22)*24*1826)/1000)*(_xlfn.IFNA(VLOOKUP($M$14,Prices!$B$2:$D$50,2,FALSE),0))*2</f>
        <v>13410.144</v>
      </c>
      <c r="N22" s="10">
        <f t="shared" si="3"/>
        <v>17346841.701920003</v>
      </c>
      <c r="O22" s="10">
        <f t="shared" si="6"/>
        <v>395.82972120116841</v>
      </c>
      <c r="P22" s="10">
        <f>O22/(C22*PrCloudDet!$G$11)</f>
        <v>3.957030962103811E-4</v>
      </c>
      <c r="Q22" s="18">
        <f>O22/(Sheet1!$M$8*C42)</f>
        <v>3.9582972120116839E-4</v>
      </c>
    </row>
    <row r="23" spans="2:18" s="8" customFormat="1" x14ac:dyDescent="0.25">
      <c r="B23" s="18">
        <v>1600</v>
      </c>
      <c r="C23" s="18">
        <f>_xlfn.CEILING.MATH(_xlfn.CEILING.MATH(B23/Sheet1!$M$8)/PrCloudDet!$G$12)</f>
        <v>2</v>
      </c>
      <c r="D23" s="18">
        <f>$F$11*C23</f>
        <v>19323.12</v>
      </c>
      <c r="E23" s="18">
        <f>_xlfn.CEILING.MATH((C23+(IF(_xlfn.CEILING.MATH(C23/28)&lt;=1,_xlfn.CEILING.MATH(C23/28),((_xlfn.CEILING.MATH(C23/28))*(_xlfn.CEILING.MATH(C23/28)-1))/2)))/28)</f>
        <v>1</v>
      </c>
      <c r="F23" s="18">
        <f>_xlfn.IFNA(VLOOKUP($E$14,Prices!$B$2:$D$50,2,FALSE),0)</f>
        <v>2413.9899999999998</v>
      </c>
      <c r="G23" s="18">
        <f>(((_xlfn.IFNA(VLOOKUP($E$14,Prices!$B$2:$D$50,3,FALSE),0)*E23)*24*1826)/1000)*(_xlfn.IFNA(VLOOKUP($G$14,Prices!$B$2:$D$50,2,FALSE),0))*2</f>
        <v>335.25359999999995</v>
      </c>
      <c r="H23" s="18">
        <f>_xlfn.CEILING.MATH(C23/1000)</f>
        <v>1</v>
      </c>
      <c r="I23" s="18">
        <f>_xlfn.IFNA(VLOOKUP($I$14,Prices!$B$2:$D$50,2,FALSE),0)*H23</f>
        <v>526450</v>
      </c>
      <c r="J23" s="18">
        <f>(($G$11*24*1826)/1000)*(_xlfn.IFNA(VLOOKUP($J$14,Prices!$B$2:$D$50,2,FALSE),0))*C23*2</f>
        <v>11800.926720000001</v>
      </c>
      <c r="K23" s="18">
        <f>_xlfn.CEILING.MATH(C23/42)</f>
        <v>1</v>
      </c>
      <c r="L23" s="18">
        <f>_xlfn.IFNA(VLOOKUP($K$14,Prices!$B$2:$D$50,2,FALSE),0)*K23</f>
        <v>1654.73</v>
      </c>
      <c r="M23" s="18">
        <f>(((_xlfn.IFNA(VLOOKUP($K$14,Prices!$B$2:$D$50,3,FALSE),0)*K23)*24*1826)/1000)*(_xlfn.IFNA(VLOOKUP($M$14,Prices!$B$2:$D$50,2,FALSE),0))*2</f>
        <v>536.40575999999999</v>
      </c>
      <c r="N23" s="18">
        <f>D23+F23+G23+I23+J23+L23+M23</f>
        <v>562514.42608</v>
      </c>
      <c r="O23" s="18">
        <f>N23/1826/24</f>
        <v>12.835761821832785</v>
      </c>
      <c r="P23" s="18">
        <f>O23/(C23*PrCloudDet!$G$11)</f>
        <v>6.6852926155379086E-3</v>
      </c>
      <c r="Q23" s="18">
        <f>O23/(Sheet1!$M$8*C43)</f>
        <v>8.0223511386454897E-3</v>
      </c>
      <c r="R23" s="8">
        <v>8.3125000000000004E-3</v>
      </c>
    </row>
    <row r="24" spans="2:18" s="18" customFormat="1" x14ac:dyDescent="0.25">
      <c r="B24" s="18">
        <v>1900</v>
      </c>
      <c r="C24" s="18">
        <f>_xlfn.CEILING.MATH(_xlfn.CEILING.MATH(B24/Sheet1!$M$8)/PrCloudDet!$G$12)</f>
        <v>2</v>
      </c>
      <c r="D24" s="18">
        <f>$F$11*C24</f>
        <v>19323.12</v>
      </c>
      <c r="E24" s="18">
        <f>_xlfn.CEILING.MATH((C24+(IF(_xlfn.CEILING.MATH(C24/28)&lt;=1,_xlfn.CEILING.MATH(C24/28),((_xlfn.CEILING.MATH(C24/28))*(_xlfn.CEILING.MATH(C24/28)-1))/2)))/28)</f>
        <v>1</v>
      </c>
      <c r="F24" s="18">
        <f>_xlfn.IFNA(VLOOKUP($E$14,Prices!$B$2:$D$50,2,FALSE),0)</f>
        <v>2413.9899999999998</v>
      </c>
      <c r="G24" s="18">
        <f>(((_xlfn.IFNA(VLOOKUP($E$14,Prices!$B$2:$D$50,3,FALSE),0)*E24)*24*1826)/1000)*(_xlfn.IFNA(VLOOKUP($G$14,Prices!$B$2:$D$50,2,FALSE),0))*2</f>
        <v>335.25359999999995</v>
      </c>
      <c r="H24" s="18">
        <f>_xlfn.CEILING.MATH(C24/1000)</f>
        <v>1</v>
      </c>
      <c r="I24" s="18">
        <f>_xlfn.IFNA(VLOOKUP($I$14,Prices!$B$2:$D$50,2,FALSE),0)*H24</f>
        <v>526450</v>
      </c>
      <c r="J24" s="18">
        <f>(($G$11*24*1826)/1000)*(_xlfn.IFNA(VLOOKUP($J$14,Prices!$B$2:$D$50,2,FALSE),0))*C24*2</f>
        <v>11800.926720000001</v>
      </c>
      <c r="K24" s="18">
        <f>_xlfn.CEILING.MATH(C24/42)</f>
        <v>1</v>
      </c>
      <c r="L24" s="18">
        <f>_xlfn.IFNA(VLOOKUP($K$14,Prices!$B$2:$D$50,2,FALSE),0)*K24</f>
        <v>1654.73</v>
      </c>
      <c r="M24" s="18">
        <f>(((_xlfn.IFNA(VLOOKUP($K$14,Prices!$B$2:$D$50,3,FALSE),0)*K24)*24*1826)/1000)*(_xlfn.IFNA(VLOOKUP($M$14,Prices!$B$2:$D$50,2,FALSE),0))*2</f>
        <v>536.40575999999999</v>
      </c>
      <c r="N24" s="18">
        <f>D24+F24+G24+I24+J24+L24+M24</f>
        <v>562514.42608</v>
      </c>
      <c r="O24" s="18">
        <f>N24/1826/24</f>
        <v>12.835761821832785</v>
      </c>
      <c r="P24" s="18">
        <f>O24/(C24*PrCloudDet!$G$11)</f>
        <v>6.6852926155379086E-3</v>
      </c>
      <c r="Q24" s="18">
        <f>O24/(Sheet1!$M$8*C44)</f>
        <v>6.6852926155379086E-3</v>
      </c>
    </row>
    <row r="25" spans="2:18" s="18" customFormat="1" x14ac:dyDescent="0.25">
      <c r="B25" s="18">
        <v>2865</v>
      </c>
      <c r="C25" s="18">
        <f>_xlfn.CEILING.MATH(_xlfn.CEILING.MATH(B25/Sheet1!$M$8)/PrCloudDet!$G$12)</f>
        <v>3</v>
      </c>
      <c r="D25" s="18">
        <f>$F$11*C25</f>
        <v>28984.68</v>
      </c>
      <c r="E25" s="18">
        <f>_xlfn.CEILING.MATH((C25+(IF(_xlfn.CEILING.MATH(C25/28)&lt;=1,_xlfn.CEILING.MATH(C25/28),((_xlfn.CEILING.MATH(C25/28))*(_xlfn.CEILING.MATH(C25/28)-1))/2)))/28)</f>
        <v>1</v>
      </c>
      <c r="F25" s="18">
        <f>_xlfn.IFNA(VLOOKUP($E$14,Prices!$B$2:$D$50,2,FALSE),0)</f>
        <v>2413.9899999999998</v>
      </c>
      <c r="G25" s="18">
        <f>(((_xlfn.IFNA(VLOOKUP($E$14,Prices!$B$2:$D$50,3,FALSE),0)*E25)*24*1826)/1000)*(_xlfn.IFNA(VLOOKUP($G$14,Prices!$B$2:$D$50,2,FALSE),0))*2</f>
        <v>335.25359999999995</v>
      </c>
      <c r="H25" s="18">
        <f>_xlfn.CEILING.MATH(C25/1000)</f>
        <v>1</v>
      </c>
      <c r="I25" s="18">
        <f>_xlfn.IFNA(VLOOKUP($I$14,Prices!$B$2:$D$50,2,FALSE),0)*H25</f>
        <v>526450</v>
      </c>
      <c r="J25" s="18">
        <f>(($G$11*24*1826)/1000)*(_xlfn.IFNA(VLOOKUP($J$14,Prices!$B$2:$D$50,2,FALSE),0))*C25*2</f>
        <v>17701.390080000001</v>
      </c>
      <c r="K25" s="18">
        <f>_xlfn.CEILING.MATH(C25/42)</f>
        <v>1</v>
      </c>
      <c r="L25" s="18">
        <f>_xlfn.IFNA(VLOOKUP($K$14,Prices!$B$2:$D$50,2,FALSE),0)*K25</f>
        <v>1654.73</v>
      </c>
      <c r="M25" s="18">
        <f>(((_xlfn.IFNA(VLOOKUP($K$14,Prices!$B$2:$D$50,3,FALSE),0)*K25)*24*1826)/1000)*(_xlfn.IFNA(VLOOKUP($M$14,Prices!$B$2:$D$50,2,FALSE),0))*2</f>
        <v>536.40575999999999</v>
      </c>
      <c r="N25" s="18">
        <f>D25+F25+G25+I25+J25+L25+M25</f>
        <v>578076.44944</v>
      </c>
      <c r="O25" s="18">
        <f>N25/1826/24</f>
        <v>13.19086458196422</v>
      </c>
      <c r="P25" s="18">
        <f>O25/(C25*PrCloudDet!$G$11)</f>
        <v>4.5801613131820212E-3</v>
      </c>
      <c r="Q25" s="18">
        <f>O25/(Sheet1!$M$8*C45)</f>
        <v>4.5801613131820212E-3</v>
      </c>
    </row>
    <row r="26" spans="2:18" s="18" customFormat="1" x14ac:dyDescent="0.25">
      <c r="B26" s="18">
        <v>3840</v>
      </c>
      <c r="C26" s="18">
        <f>_xlfn.CEILING.MATH(_xlfn.CEILING.MATH(B26/Sheet1!$M$8)/PrCloudDet!$G$12)</f>
        <v>4</v>
      </c>
      <c r="D26" s="18">
        <f>$F$11*C26</f>
        <v>38646.239999999998</v>
      </c>
      <c r="E26" s="18">
        <f>_xlfn.CEILING.MATH((C26+(IF(_xlfn.CEILING.MATH(C26/28)&lt;=1,_xlfn.CEILING.MATH(C26/28),((_xlfn.CEILING.MATH(C26/28))*(_xlfn.CEILING.MATH(C26/28)-1))/2)))/28)</f>
        <v>1</v>
      </c>
      <c r="F26" s="18">
        <f>_xlfn.IFNA(VLOOKUP($E$14,Prices!$B$2:$D$50,2,FALSE),0)</f>
        <v>2413.9899999999998</v>
      </c>
      <c r="G26" s="18">
        <f>(((_xlfn.IFNA(VLOOKUP($E$14,Prices!$B$2:$D$50,3,FALSE),0)*E26)*24*1826)/1000)*(_xlfn.IFNA(VLOOKUP($G$14,Prices!$B$2:$D$50,2,FALSE),0))*2</f>
        <v>335.25359999999995</v>
      </c>
      <c r="H26" s="18">
        <f>_xlfn.CEILING.MATH(C26/1000)</f>
        <v>1</v>
      </c>
      <c r="I26" s="18">
        <f>_xlfn.IFNA(VLOOKUP($I$14,Prices!$B$2:$D$50,2,FALSE),0)*H26</f>
        <v>526450</v>
      </c>
      <c r="J26" s="18">
        <f>(($G$11*24*1826)/1000)*(_xlfn.IFNA(VLOOKUP($J$14,Prices!$B$2:$D$50,2,FALSE),0))*C26*2</f>
        <v>23601.853440000003</v>
      </c>
      <c r="K26" s="18">
        <f>_xlfn.CEILING.MATH(C26/42)</f>
        <v>1</v>
      </c>
      <c r="L26" s="18">
        <f>_xlfn.IFNA(VLOOKUP($K$14,Prices!$B$2:$D$50,2,FALSE),0)*K26</f>
        <v>1654.73</v>
      </c>
      <c r="M26" s="18">
        <f>(((_xlfn.IFNA(VLOOKUP($K$14,Prices!$B$2:$D$50,3,FALSE),0)*K26)*24*1826)/1000)*(_xlfn.IFNA(VLOOKUP($M$14,Prices!$B$2:$D$50,2,FALSE),0))*2</f>
        <v>536.40575999999999</v>
      </c>
      <c r="N26" s="18">
        <f>D26+F26+G26+I26+J26+L26+M26</f>
        <v>593638.47279999999</v>
      </c>
      <c r="O26" s="18">
        <f>N26/1826/24</f>
        <v>13.545967342095656</v>
      </c>
      <c r="P26" s="18">
        <f>O26/(C26*PrCloudDet!$G$11)</f>
        <v>3.5275956620040771E-3</v>
      </c>
      <c r="Q26" s="18">
        <f>O26/(Sheet1!$M$8*C46)</f>
        <v>3.5275956620040771E-3</v>
      </c>
    </row>
    <row r="27" spans="2:18" s="18" customFormat="1" x14ac:dyDescent="0.25">
      <c r="B27" s="18">
        <v>55675</v>
      </c>
      <c r="C27" s="18">
        <f>_xlfn.CEILING.MATH(_xlfn.CEILING.MATH(B27/Sheet1!$M$8)/PrCloudDet!$G$12)</f>
        <v>58</v>
      </c>
      <c r="D27" s="18">
        <f>$F$11*C27</f>
        <v>560370.48</v>
      </c>
      <c r="E27" s="18">
        <f>_xlfn.CEILING.MATH((C27+(IF(_xlfn.CEILING.MATH(C27/28)&lt;=1,_xlfn.CEILING.MATH(C27/28),((_xlfn.CEILING.MATH(C27/28))*(_xlfn.CEILING.MATH(C27/28)-1))/2)))/28)</f>
        <v>3</v>
      </c>
      <c r="F27" s="18">
        <f>_xlfn.IFNA(VLOOKUP($E$14,Prices!$B$2:$D$50,2,FALSE),0)</f>
        <v>2413.9899999999998</v>
      </c>
      <c r="G27" s="18">
        <f>(((_xlfn.IFNA(VLOOKUP($E$14,Prices!$B$2:$D$50,3,FALSE),0)*E27)*24*1826)/1000)*(_xlfn.IFNA(VLOOKUP($G$14,Prices!$B$2:$D$50,2,FALSE),0))*2</f>
        <v>1005.7608</v>
      </c>
      <c r="H27" s="18">
        <f>_xlfn.CEILING.MATH(C27/1000)</f>
        <v>1</v>
      </c>
      <c r="I27" s="18">
        <f>_xlfn.IFNA(VLOOKUP($I$14,Prices!$B$2:$D$50,2,FALSE),0)*H27</f>
        <v>526450</v>
      </c>
      <c r="J27" s="18">
        <f>(($G$11*24*1826)/1000)*(_xlfn.IFNA(VLOOKUP($J$14,Prices!$B$2:$D$50,2,FALSE),0))*C27*2</f>
        <v>342226.87488000002</v>
      </c>
      <c r="K27" s="18">
        <f>_xlfn.CEILING.MATH(C27/42)</f>
        <v>2</v>
      </c>
      <c r="L27" s="18">
        <f>_xlfn.IFNA(VLOOKUP($K$14,Prices!$B$2:$D$50,2,FALSE),0)*K27</f>
        <v>3309.46</v>
      </c>
      <c r="M27" s="18">
        <f>(((_xlfn.IFNA(VLOOKUP($K$14,Prices!$B$2:$D$50,3,FALSE),0)*K27)*24*1826)/1000)*(_xlfn.IFNA(VLOOKUP($M$14,Prices!$B$2:$D$50,2,FALSE),0))*2</f>
        <v>1072.81152</v>
      </c>
      <c r="N27" s="18">
        <f>D27+F27+G27+I27+J27+L27+M27</f>
        <v>1436849.3772</v>
      </c>
      <c r="O27" s="18">
        <f>N27/1826/24</f>
        <v>32.786814923329679</v>
      </c>
      <c r="P27" s="18">
        <f>O27/(C27*PrCloudDet!$G$11)</f>
        <v>5.888436588241681E-4</v>
      </c>
      <c r="Q27" s="18">
        <f>O27/(Sheet1!$M$8*C47)</f>
        <v>5.888436588241681E-4</v>
      </c>
    </row>
    <row r="28" spans="2:18" s="18" customFormat="1" x14ac:dyDescent="0.25"/>
    <row r="29" spans="2:18" s="18" customFormat="1" x14ac:dyDescent="0.25"/>
    <row r="30" spans="2:18" s="18" customFormat="1" x14ac:dyDescent="0.25"/>
    <row r="31" spans="2:18" s="18" customFormat="1" x14ac:dyDescent="0.25"/>
    <row r="32" spans="2:18" s="18" customFormat="1" x14ac:dyDescent="0.25"/>
    <row r="33" spans="2:13" s="18" customFormat="1" x14ac:dyDescent="0.25"/>
    <row r="34" spans="2:13" s="8" customFormat="1" x14ac:dyDescent="0.25"/>
    <row r="35" spans="2:13" ht="120" x14ac:dyDescent="0.25">
      <c r="B35" s="14" t="s">
        <v>97</v>
      </c>
      <c r="C35" s="2" t="s">
        <v>127</v>
      </c>
      <c r="D35" s="14" t="s">
        <v>128</v>
      </c>
      <c r="E35" s="14" t="s">
        <v>123</v>
      </c>
      <c r="F35" s="14" t="s">
        <v>124</v>
      </c>
      <c r="G35" s="14" t="s">
        <v>125</v>
      </c>
      <c r="H35" s="14" t="s">
        <v>104</v>
      </c>
      <c r="I35" s="14" t="s">
        <v>126</v>
      </c>
      <c r="J35" s="14" t="s">
        <v>108</v>
      </c>
      <c r="K35" s="14" t="s">
        <v>109</v>
      </c>
      <c r="L35" s="14" t="s">
        <v>110</v>
      </c>
    </row>
    <row r="36" spans="2:13" x14ac:dyDescent="0.25">
      <c r="B36" s="2">
        <f>B16</f>
        <v>1</v>
      </c>
      <c r="C36" s="2">
        <f>_xlfn.CEILING.MATH(B16/Sheet1!$M$8)</f>
        <v>1</v>
      </c>
      <c r="D36" s="2">
        <f t="shared" ref="D36:E47" si="7">C16</f>
        <v>1</v>
      </c>
      <c r="E36" s="15">
        <f t="shared" si="7"/>
        <v>9661.56</v>
      </c>
      <c r="F36" s="15">
        <f>F16+G16</f>
        <v>2749.2435999999998</v>
      </c>
      <c r="G36" s="15">
        <f t="shared" ref="G36:G47" si="8">I16</f>
        <v>526450</v>
      </c>
      <c r="H36" s="15">
        <f t="shared" ref="H36:H47" si="9">J16</f>
        <v>5900.4633600000006</v>
      </c>
      <c r="I36" s="15">
        <f>L16+M16</f>
        <v>2191.1357600000001</v>
      </c>
      <c r="J36" s="15">
        <f>N16</f>
        <v>546952.40272000001</v>
      </c>
      <c r="K36" s="15">
        <f>O16</f>
        <v>12.480659061701351</v>
      </c>
      <c r="L36" s="16">
        <f>P16</f>
        <v>1.3000686522605574E-2</v>
      </c>
      <c r="M36" s="16">
        <f>Q16</f>
        <v>7.8004119135633446E-2</v>
      </c>
    </row>
    <row r="37" spans="2:13" x14ac:dyDescent="0.25">
      <c r="B37" s="14">
        <f t="shared" ref="B37:B47" si="10">B17</f>
        <v>10</v>
      </c>
      <c r="C37" s="14">
        <f>_xlfn.CEILING.MATH(B17/Sheet1!$M$8)</f>
        <v>1</v>
      </c>
      <c r="D37" s="14">
        <f t="shared" si="7"/>
        <v>1</v>
      </c>
      <c r="E37" s="15">
        <f t="shared" si="7"/>
        <v>9661.56</v>
      </c>
      <c r="F37" s="15">
        <f t="shared" ref="F37:F42" si="11">F17+G17</f>
        <v>2749.2435999999998</v>
      </c>
      <c r="G37" s="15">
        <f t="shared" si="8"/>
        <v>526450</v>
      </c>
      <c r="H37" s="15">
        <f t="shared" si="9"/>
        <v>5900.4633600000006</v>
      </c>
      <c r="I37" s="15">
        <f t="shared" ref="I37:I42" si="12">L17+M17</f>
        <v>2191.1357600000001</v>
      </c>
      <c r="J37" s="15">
        <f t="shared" ref="J37:J42" si="13">N17</f>
        <v>546952.40272000001</v>
      </c>
      <c r="K37" s="15">
        <f t="shared" ref="K37:K42" si="14">O17</f>
        <v>12.480659061701351</v>
      </c>
      <c r="L37" s="16">
        <f t="shared" ref="L37:M42" si="15">P17</f>
        <v>1.3000686522605574E-2</v>
      </c>
      <c r="M37" s="16">
        <f t="shared" si="15"/>
        <v>7.8004119135633446E-2</v>
      </c>
    </row>
    <row r="38" spans="2:13" x14ac:dyDescent="0.25">
      <c r="B38" s="14">
        <f t="shared" si="10"/>
        <v>100</v>
      </c>
      <c r="C38" s="14">
        <f>_xlfn.CEILING.MATH(B18/Sheet1!$M$8)</f>
        <v>1</v>
      </c>
      <c r="D38" s="14">
        <f t="shared" si="7"/>
        <v>1</v>
      </c>
      <c r="E38" s="15">
        <f t="shared" si="7"/>
        <v>9661.56</v>
      </c>
      <c r="F38" s="15">
        <f t="shared" si="11"/>
        <v>2749.2435999999998</v>
      </c>
      <c r="G38" s="15">
        <f t="shared" si="8"/>
        <v>526450</v>
      </c>
      <c r="H38" s="15">
        <f t="shared" si="9"/>
        <v>5900.4633600000006</v>
      </c>
      <c r="I38" s="15">
        <f t="shared" si="12"/>
        <v>2191.1357600000001</v>
      </c>
      <c r="J38" s="15">
        <f t="shared" si="13"/>
        <v>546952.40272000001</v>
      </c>
      <c r="K38" s="15">
        <f t="shared" si="14"/>
        <v>12.480659061701351</v>
      </c>
      <c r="L38" s="16">
        <f t="shared" si="15"/>
        <v>1.3000686522605574E-2</v>
      </c>
      <c r="M38" s="16">
        <f t="shared" si="15"/>
        <v>7.8004119135633446E-2</v>
      </c>
    </row>
    <row r="39" spans="2:13" x14ac:dyDescent="0.25">
      <c r="B39" s="14">
        <f t="shared" si="10"/>
        <v>1000</v>
      </c>
      <c r="C39" s="14">
        <f>_xlfn.CEILING.MATH(B19/Sheet1!$M$8)</f>
        <v>7</v>
      </c>
      <c r="D39" s="14">
        <f t="shared" si="7"/>
        <v>2</v>
      </c>
      <c r="E39" s="15">
        <f t="shared" si="7"/>
        <v>19323.12</v>
      </c>
      <c r="F39" s="15">
        <f t="shared" si="11"/>
        <v>2749.2435999999998</v>
      </c>
      <c r="G39" s="15">
        <f t="shared" si="8"/>
        <v>526450</v>
      </c>
      <c r="H39" s="15">
        <f t="shared" si="9"/>
        <v>11800.926720000001</v>
      </c>
      <c r="I39" s="15">
        <f t="shared" si="12"/>
        <v>2191.1357600000001</v>
      </c>
      <c r="J39" s="15">
        <f t="shared" si="13"/>
        <v>562514.42608</v>
      </c>
      <c r="K39" s="15">
        <f t="shared" si="14"/>
        <v>12.835761821832785</v>
      </c>
      <c r="L39" s="16">
        <f t="shared" si="15"/>
        <v>6.6852926155379086E-3</v>
      </c>
      <c r="M39" s="16">
        <f t="shared" si="15"/>
        <v>1.1460501626636414E-2</v>
      </c>
    </row>
    <row r="40" spans="2:13" x14ac:dyDescent="0.25">
      <c r="B40" s="14">
        <f t="shared" si="10"/>
        <v>10000</v>
      </c>
      <c r="C40" s="14">
        <f>_xlfn.CEILING.MATH(B20/Sheet1!$M$8)</f>
        <v>63</v>
      </c>
      <c r="D40" s="14">
        <f t="shared" si="7"/>
        <v>11</v>
      </c>
      <c r="E40" s="15">
        <f t="shared" si="7"/>
        <v>106277.15999999999</v>
      </c>
      <c r="F40" s="15">
        <f t="shared" si="11"/>
        <v>2749.2435999999998</v>
      </c>
      <c r="G40" s="15">
        <f t="shared" si="8"/>
        <v>526450</v>
      </c>
      <c r="H40" s="15">
        <f t="shared" si="9"/>
        <v>64905.09696000001</v>
      </c>
      <c r="I40" s="15">
        <f t="shared" si="12"/>
        <v>2191.1357600000001</v>
      </c>
      <c r="J40" s="15">
        <f t="shared" si="13"/>
        <v>702572.63631999993</v>
      </c>
      <c r="K40" s="15">
        <f t="shared" si="14"/>
        <v>16.031686663015698</v>
      </c>
      <c r="L40" s="16">
        <f t="shared" si="15"/>
        <v>1.5181521461189109E-3</v>
      </c>
      <c r="M40" s="16">
        <f t="shared" si="15"/>
        <v>1.5904451054579065E-3</v>
      </c>
    </row>
    <row r="41" spans="2:13" x14ac:dyDescent="0.25">
      <c r="B41" s="14">
        <f t="shared" si="10"/>
        <v>100000</v>
      </c>
      <c r="C41" s="14">
        <f>_xlfn.CEILING.MATH(B21/Sheet1!$M$8)</f>
        <v>625</v>
      </c>
      <c r="D41" s="14">
        <f t="shared" si="7"/>
        <v>105</v>
      </c>
      <c r="E41" s="15">
        <f t="shared" si="7"/>
        <v>1014463.7999999999</v>
      </c>
      <c r="F41" s="15">
        <f t="shared" si="11"/>
        <v>3755.0043999999998</v>
      </c>
      <c r="G41" s="15">
        <f t="shared" si="8"/>
        <v>526450</v>
      </c>
      <c r="H41" s="15">
        <f t="shared" si="9"/>
        <v>619548.65280000004</v>
      </c>
      <c r="I41" s="15">
        <f t="shared" si="12"/>
        <v>6573.4072800000004</v>
      </c>
      <c r="J41" s="15">
        <f t="shared" si="13"/>
        <v>2170790.86448</v>
      </c>
      <c r="K41" s="15">
        <f t="shared" si="14"/>
        <v>49.534293183643662</v>
      </c>
      <c r="L41" s="16">
        <f t="shared" si="15"/>
        <v>4.9141163872662365E-4</v>
      </c>
      <c r="M41" s="16">
        <f t="shared" si="15"/>
        <v>4.9534293183643664E-4</v>
      </c>
    </row>
    <row r="42" spans="2:13" x14ac:dyDescent="0.25">
      <c r="B42" s="14">
        <f t="shared" si="10"/>
        <v>1000000</v>
      </c>
      <c r="C42" s="14">
        <f>_xlfn.CEILING.MATH(B22/Sheet1!$M$8)</f>
        <v>6250</v>
      </c>
      <c r="D42" s="14">
        <f t="shared" si="7"/>
        <v>1042</v>
      </c>
      <c r="E42" s="15">
        <f t="shared" si="7"/>
        <v>10067345.52</v>
      </c>
      <c r="F42" s="15">
        <f t="shared" si="11"/>
        <v>23534.966800000002</v>
      </c>
      <c r="G42" s="15">
        <f t="shared" si="8"/>
        <v>1052900</v>
      </c>
      <c r="H42" s="15">
        <f t="shared" si="9"/>
        <v>6148282.8211200004</v>
      </c>
      <c r="I42" s="15">
        <f t="shared" si="12"/>
        <v>54778.394</v>
      </c>
      <c r="J42" s="15">
        <f t="shared" si="13"/>
        <v>17346841.701920003</v>
      </c>
      <c r="K42" s="15">
        <f t="shared" si="14"/>
        <v>395.82972120116841</v>
      </c>
      <c r="L42" s="16">
        <f t="shared" si="15"/>
        <v>3.957030962103811E-4</v>
      </c>
      <c r="M42" s="16">
        <f t="shared" si="15"/>
        <v>3.9582972120116839E-4</v>
      </c>
    </row>
    <row r="43" spans="2:13" x14ac:dyDescent="0.25">
      <c r="B43" s="18">
        <f t="shared" si="10"/>
        <v>1600</v>
      </c>
      <c r="C43" s="18">
        <f>_xlfn.CEILING.MATH(B23/Sheet1!$M$8)</f>
        <v>10</v>
      </c>
      <c r="D43" s="18">
        <f t="shared" si="7"/>
        <v>2</v>
      </c>
      <c r="E43" s="15">
        <f t="shared" si="7"/>
        <v>19323.12</v>
      </c>
      <c r="F43" s="15">
        <f>F23+G23</f>
        <v>2749.2435999999998</v>
      </c>
      <c r="G43" s="15">
        <f t="shared" si="8"/>
        <v>526450</v>
      </c>
      <c r="H43" s="15">
        <f t="shared" si="9"/>
        <v>11800.926720000001</v>
      </c>
      <c r="I43" s="15">
        <f>L23+M23</f>
        <v>2191.1357600000001</v>
      </c>
      <c r="J43" s="15">
        <f t="shared" ref="J43:M47" si="16">N23</f>
        <v>562514.42608</v>
      </c>
      <c r="K43" s="15">
        <f t="shared" si="16"/>
        <v>12.835761821832785</v>
      </c>
      <c r="L43" s="16">
        <f t="shared" si="16"/>
        <v>6.6852926155379086E-3</v>
      </c>
      <c r="M43" s="16">
        <f t="shared" si="16"/>
        <v>8.0223511386454897E-3</v>
      </c>
    </row>
    <row r="44" spans="2:13" x14ac:dyDescent="0.25">
      <c r="B44" s="18">
        <f t="shared" si="10"/>
        <v>1900</v>
      </c>
      <c r="C44" s="18">
        <f>_xlfn.CEILING.MATH(B24/Sheet1!$M$8)</f>
        <v>12</v>
      </c>
      <c r="D44" s="18">
        <f t="shared" si="7"/>
        <v>2</v>
      </c>
      <c r="E44" s="15">
        <f t="shared" si="7"/>
        <v>19323.12</v>
      </c>
      <c r="F44" s="15">
        <f>F24+G24</f>
        <v>2749.2435999999998</v>
      </c>
      <c r="G44" s="15">
        <f t="shared" si="8"/>
        <v>526450</v>
      </c>
      <c r="H44" s="15">
        <f t="shared" si="9"/>
        <v>11800.926720000001</v>
      </c>
      <c r="I44" s="15">
        <f>L24+M24</f>
        <v>2191.1357600000001</v>
      </c>
      <c r="J44" s="15">
        <f t="shared" si="16"/>
        <v>562514.42608</v>
      </c>
      <c r="K44" s="15">
        <f t="shared" si="16"/>
        <v>12.835761821832785</v>
      </c>
      <c r="L44" s="16">
        <f t="shared" si="16"/>
        <v>6.6852926155379086E-3</v>
      </c>
      <c r="M44" s="16">
        <f t="shared" si="16"/>
        <v>6.6852926155379086E-3</v>
      </c>
    </row>
    <row r="45" spans="2:13" x14ac:dyDescent="0.25">
      <c r="B45" s="18">
        <f t="shared" si="10"/>
        <v>2865</v>
      </c>
      <c r="C45" s="18">
        <f>_xlfn.CEILING.MATH(B25/Sheet1!$M$8)</f>
        <v>18</v>
      </c>
      <c r="D45" s="18">
        <f t="shared" si="7"/>
        <v>3</v>
      </c>
      <c r="E45" s="15">
        <f t="shared" si="7"/>
        <v>28984.68</v>
      </c>
      <c r="F45" s="15">
        <f>F25+G25</f>
        <v>2749.2435999999998</v>
      </c>
      <c r="G45" s="15">
        <f t="shared" si="8"/>
        <v>526450</v>
      </c>
      <c r="H45" s="15">
        <f t="shared" si="9"/>
        <v>17701.390080000001</v>
      </c>
      <c r="I45" s="15">
        <f>L25+M25</f>
        <v>2191.1357600000001</v>
      </c>
      <c r="J45" s="15">
        <f t="shared" si="16"/>
        <v>578076.44944</v>
      </c>
      <c r="K45" s="15">
        <f t="shared" si="16"/>
        <v>13.19086458196422</v>
      </c>
      <c r="L45" s="16">
        <f t="shared" si="16"/>
        <v>4.5801613131820212E-3</v>
      </c>
      <c r="M45" s="16">
        <f t="shared" si="16"/>
        <v>4.5801613131820212E-3</v>
      </c>
    </row>
    <row r="46" spans="2:13" x14ac:dyDescent="0.25">
      <c r="B46" s="18">
        <f t="shared" si="10"/>
        <v>3840</v>
      </c>
      <c r="C46" s="18">
        <f>_xlfn.CEILING.MATH(B26/Sheet1!$M$8)</f>
        <v>24</v>
      </c>
      <c r="D46" s="18">
        <f t="shared" si="7"/>
        <v>4</v>
      </c>
      <c r="E46" s="15">
        <f t="shared" si="7"/>
        <v>38646.239999999998</v>
      </c>
      <c r="F46" s="15">
        <f>F26+G26</f>
        <v>2749.2435999999998</v>
      </c>
      <c r="G46" s="15">
        <f t="shared" si="8"/>
        <v>526450</v>
      </c>
      <c r="H46" s="15">
        <f t="shared" si="9"/>
        <v>23601.853440000003</v>
      </c>
      <c r="I46" s="15">
        <f>L26+M26</f>
        <v>2191.1357600000001</v>
      </c>
      <c r="J46" s="15">
        <f t="shared" si="16"/>
        <v>593638.47279999999</v>
      </c>
      <c r="K46" s="15">
        <f t="shared" si="16"/>
        <v>13.545967342095656</v>
      </c>
      <c r="L46" s="16">
        <f t="shared" si="16"/>
        <v>3.5275956620040771E-3</v>
      </c>
      <c r="M46" s="16">
        <f t="shared" si="16"/>
        <v>3.5275956620040771E-3</v>
      </c>
    </row>
    <row r="47" spans="2:13" x14ac:dyDescent="0.25">
      <c r="B47" s="18">
        <f t="shared" si="10"/>
        <v>55675</v>
      </c>
      <c r="C47" s="18">
        <f>_xlfn.CEILING.MATH(B27/Sheet1!$M$8)</f>
        <v>348</v>
      </c>
      <c r="D47" s="18">
        <f t="shared" si="7"/>
        <v>58</v>
      </c>
      <c r="E47" s="15">
        <f t="shared" si="7"/>
        <v>560370.48</v>
      </c>
      <c r="F47" s="15">
        <f>F27+G27</f>
        <v>3419.7507999999998</v>
      </c>
      <c r="G47" s="15">
        <f t="shared" si="8"/>
        <v>526450</v>
      </c>
      <c r="H47" s="15">
        <f t="shared" si="9"/>
        <v>342226.87488000002</v>
      </c>
      <c r="I47" s="15">
        <f>L27+M27</f>
        <v>4382.2715200000002</v>
      </c>
      <c r="J47" s="15">
        <f t="shared" si="16"/>
        <v>1436849.3772</v>
      </c>
      <c r="K47" s="15">
        <f t="shared" si="16"/>
        <v>32.786814923329679</v>
      </c>
      <c r="L47" s="16">
        <f t="shared" si="16"/>
        <v>5.888436588241681E-4</v>
      </c>
      <c r="M47" s="16">
        <f t="shared" si="16"/>
        <v>5.888436588241681E-4</v>
      </c>
    </row>
  </sheetData>
  <mergeCells count="2">
    <mergeCell ref="E14:F14"/>
    <mergeCell ref="K14:L1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R49"/>
  <sheetViews>
    <sheetView topLeftCell="A16" zoomScale="60" zoomScaleNormal="60" workbookViewId="0">
      <selection activeCell="C23" sqref="C23"/>
    </sheetView>
  </sheetViews>
  <sheetFormatPr defaultRowHeight="15" x14ac:dyDescent="0.25"/>
  <cols>
    <col min="1" max="1" width="9.140625" style="2"/>
    <col min="2" max="2" width="18" style="2" customWidth="1"/>
    <col min="3" max="3" width="29.7109375" style="2" customWidth="1"/>
    <col min="4" max="4" width="14.85546875" style="2" customWidth="1"/>
    <col min="5" max="5" width="27.28515625" style="2" customWidth="1"/>
    <col min="6" max="6" width="15.5703125" style="2" customWidth="1"/>
    <col min="7" max="7" width="17" style="2" bestFit="1" customWidth="1"/>
    <col min="8" max="8" width="19.42578125" style="2" bestFit="1" customWidth="1"/>
    <col min="9" max="9" width="15.140625" style="2" bestFit="1" customWidth="1"/>
    <col min="10" max="10" width="19.42578125" style="2" bestFit="1" customWidth="1"/>
    <col min="11" max="11" width="9.28515625" style="2" bestFit="1" customWidth="1"/>
    <col min="12" max="13" width="17" style="2" bestFit="1" customWidth="1"/>
    <col min="14" max="14" width="14" style="2" bestFit="1" customWidth="1"/>
    <col min="15" max="17" width="11.5703125" style="2" bestFit="1" customWidth="1"/>
    <col min="18" max="16384" width="9.140625" style="2"/>
  </cols>
  <sheetData>
    <row r="1" spans="2:17" ht="45" x14ac:dyDescent="0.25">
      <c r="B1" s="2" t="s">
        <v>28</v>
      </c>
    </row>
    <row r="3" spans="2:17" ht="30" x14ac:dyDescent="0.25">
      <c r="B3" s="2" t="s">
        <v>27</v>
      </c>
      <c r="C3" s="2" t="s">
        <v>33</v>
      </c>
      <c r="D3" s="2" t="s">
        <v>30</v>
      </c>
      <c r="E3" s="2" t="s">
        <v>31</v>
      </c>
      <c r="F3" s="2" t="s">
        <v>32</v>
      </c>
      <c r="G3" s="3" t="s">
        <v>89</v>
      </c>
    </row>
    <row r="4" spans="2:17" ht="30" x14ac:dyDescent="0.25">
      <c r="B4" s="2" t="s">
        <v>40</v>
      </c>
      <c r="C4" s="2" t="str">
        <f>PrCloudQty!H2</f>
        <v>NORCO RPC-170 Black 1U Rackmount Server Chassis</v>
      </c>
      <c r="D4" s="2">
        <v>1</v>
      </c>
      <c r="E4" s="8">
        <f>_xlfn.IFNA(VLOOKUP(TEXT(C4,"text"),Prices!$B$2:$C$300,2,FALSE),0)</f>
        <v>96.84</v>
      </c>
      <c r="F4" s="2">
        <f t="shared" ref="F4:F9" si="0">_xlfn.IFNA(D4*E4,0)</f>
        <v>96.84</v>
      </c>
      <c r="G4" s="3">
        <f>_xlfn.IFNA(VLOOKUP(TEXT(C4,"text"),Prices!$B$2:$D$300,3,FALSE)*D4,0)</f>
        <v>10</v>
      </c>
    </row>
    <row r="5" spans="2:17" ht="60" x14ac:dyDescent="0.25">
      <c r="B5" s="2" t="s">
        <v>26</v>
      </c>
      <c r="C5" s="2" t="str">
        <f>PrCloudDet!H2</f>
        <v>Intel Xeon E5-2680 v3 Haswell 2.5 GHz LGA 2011-3 120W BX80644E52680V3 Server Processor</v>
      </c>
      <c r="D5" s="2">
        <f>PrCloudQty!H4</f>
        <v>2</v>
      </c>
      <c r="E5" s="8">
        <f>_xlfn.IFNA(VLOOKUP(TEXT(C5,"text"),Prices!$B$2:$C$300,2,FALSE),0)</f>
        <v>1719.99</v>
      </c>
      <c r="F5" s="3">
        <f t="shared" si="0"/>
        <v>3439.98</v>
      </c>
      <c r="G5" s="3">
        <f>_xlfn.IFNA(VLOOKUP(TEXT(C5,"text"),Prices!$B$2:$D$300,3,FALSE)*D5,0)</f>
        <v>240</v>
      </c>
    </row>
    <row r="6" spans="2:17" ht="75" x14ac:dyDescent="0.25">
      <c r="B6" s="2" t="s">
        <v>29</v>
      </c>
      <c r="C6" s="2" t="str">
        <f>PrCloudQty!H5</f>
        <v>Black Diamond Memory 32GB 288-Pin DDR4 SDRAM ECC Registered DDR4 2133 (PC4 17000) Server Memory Model BD32G2133MQR26</v>
      </c>
      <c r="D6" s="2">
        <f>PrCloudQty!H6</f>
        <v>23</v>
      </c>
      <c r="E6" s="8">
        <f>_xlfn.IFNA(VLOOKUP(TEXT(C6,"text"),Prices!$B$2:$C$300,2,FALSE),0)</f>
        <v>214.99</v>
      </c>
      <c r="F6" s="3">
        <f t="shared" si="0"/>
        <v>4944.7700000000004</v>
      </c>
      <c r="G6" s="3">
        <f>_xlfn.IFNA(VLOOKUP(TEXT(C6,"text"),Prices!$B$2:$D$300,3,FALSE)*D6,0)</f>
        <v>115</v>
      </c>
    </row>
    <row r="7" spans="2:17" ht="45" x14ac:dyDescent="0.25">
      <c r="B7" s="2" t="s">
        <v>37</v>
      </c>
      <c r="C7" s="2" t="str">
        <f>PrCloudQty!H7</f>
        <v>GIGABYTE MD80-TM0 E-ATX / SSI EEB Server Motherboard Dual LGA 2011-3 Intel C612</v>
      </c>
      <c r="D7" s="2">
        <v>1</v>
      </c>
      <c r="E7" s="8">
        <f>_xlfn.IFNA(VLOOKUP(TEXT(C7,"text"),Prices!$B$2:$C$300,2,FALSE),0)</f>
        <v>659.99</v>
      </c>
      <c r="F7" s="3">
        <f t="shared" si="0"/>
        <v>659.99</v>
      </c>
      <c r="G7" s="3">
        <f>_xlfn.IFNA(VLOOKUP(TEXT(C7,"text"),Prices!$B$2:$D$300,3,FALSE)*D7,0)</f>
        <v>25</v>
      </c>
    </row>
    <row r="8" spans="2:17" ht="60" x14ac:dyDescent="0.25">
      <c r="B8" s="2" t="s">
        <v>34</v>
      </c>
      <c r="C8" s="2" t="str">
        <f>PrCloudQty!H8</f>
        <v>SAMSUNG 850 EVO 2.5" 2 TB SATA III 3-D Vertical Internal Solid State Drive (SSD) MZ-75E2T0B/AM</v>
      </c>
      <c r="D8" s="2">
        <f>PrCloudQty!H9</f>
        <v>10</v>
      </c>
      <c r="E8" s="8">
        <f>_xlfn.IFNA(VLOOKUP(TEXT(C8,"text"),Prices!$B$2:$C$300,2,FALSE),0)</f>
        <v>602.73</v>
      </c>
      <c r="F8" s="3">
        <f t="shared" si="0"/>
        <v>6027.3</v>
      </c>
      <c r="G8" s="3">
        <f>_xlfn.IFNA(VLOOKUP(TEXT(C8,"text"),Prices!$B$2:$D$300,3,FALSE)*D8,0)</f>
        <v>250</v>
      </c>
    </row>
    <row r="9" spans="2:17" ht="45" x14ac:dyDescent="0.25">
      <c r="B9" s="2" t="s">
        <v>35</v>
      </c>
      <c r="C9" s="2" t="str">
        <f>PrCloudQty!H13</f>
        <v>Lenovo ThinkServer I350-T4 AnyFabric 1 Gb 4-port Base-T Ethernet Adapter by Intel</v>
      </c>
      <c r="D9" s="2">
        <f>PrCloudQty!H14</f>
        <v>1</v>
      </c>
      <c r="E9" s="8">
        <f>_xlfn.IFNA(VLOOKUP(TEXT(C9,"text"),Prices!$B$2:$C$300,2,FALSE),0)</f>
        <v>90.99</v>
      </c>
      <c r="F9" s="3">
        <f t="shared" si="0"/>
        <v>90.99</v>
      </c>
      <c r="G9" s="3">
        <f>_xlfn.IFNA(VLOOKUP(TEXT(C9,"text"),Prices!$B$2:$D$300,3,FALSE)*D9,0)</f>
        <v>5</v>
      </c>
    </row>
    <row r="10" spans="2:17" s="7" customFormat="1" x14ac:dyDescent="0.25"/>
    <row r="11" spans="2:17" s="8" customFormat="1" x14ac:dyDescent="0.25">
      <c r="F11" s="8">
        <f>SUM(F4:F10)</f>
        <v>15259.87</v>
      </c>
      <c r="G11" s="8">
        <f>SUM(G4:G10)</f>
        <v>645</v>
      </c>
    </row>
    <row r="12" spans="2:17" s="8" customFormat="1" x14ac:dyDescent="0.25"/>
    <row r="13" spans="2:17" s="10" customFormat="1" x14ac:dyDescent="0.25"/>
    <row r="14" spans="2:17" s="10" customFormat="1" ht="33.75" customHeight="1" x14ac:dyDescent="0.25">
      <c r="E14" s="19" t="str">
        <f>PrCloudQty!B19</f>
        <v>NETGEAR ProSAFE XS728T 28-Port 10-Gigabit Ethernet Smart Managed Switch (XS728T) - Lifetime Warranty</v>
      </c>
      <c r="F14" s="19"/>
      <c r="G14" s="10" t="s">
        <v>105</v>
      </c>
      <c r="I14" s="10" t="s">
        <v>39</v>
      </c>
      <c r="J14" s="10" t="s">
        <v>105</v>
      </c>
      <c r="K14" s="19" t="str">
        <f>PrCloudQty!B15</f>
        <v>APC AR3300 42U NetShelter SX 600mm Wide x 1200mm Deep Enclosure</v>
      </c>
      <c r="L14" s="19"/>
      <c r="M14" s="10" t="s">
        <v>105</v>
      </c>
    </row>
    <row r="15" spans="2:17" s="10" customFormat="1" ht="45" x14ac:dyDescent="0.25">
      <c r="B15" s="10" t="s">
        <v>97</v>
      </c>
      <c r="C15" s="10" t="s">
        <v>98</v>
      </c>
      <c r="D15" s="10" t="s">
        <v>99</v>
      </c>
      <c r="E15" s="10" t="s">
        <v>102</v>
      </c>
      <c r="F15" s="10" t="s">
        <v>100</v>
      </c>
      <c r="G15" s="10" t="s">
        <v>103</v>
      </c>
      <c r="H15" s="10" t="s">
        <v>122</v>
      </c>
      <c r="I15" s="10" t="s">
        <v>101</v>
      </c>
      <c r="J15" s="10" t="s">
        <v>104</v>
      </c>
      <c r="K15" s="10" t="s">
        <v>79</v>
      </c>
      <c r="L15" s="10" t="s">
        <v>106</v>
      </c>
      <c r="M15" s="10" t="s">
        <v>107</v>
      </c>
      <c r="N15" s="10" t="s">
        <v>108</v>
      </c>
      <c r="O15" s="10" t="s">
        <v>109</v>
      </c>
      <c r="P15" s="10" t="s">
        <v>110</v>
      </c>
    </row>
    <row r="16" spans="2:17" s="10" customFormat="1" x14ac:dyDescent="0.25">
      <c r="B16" s="10">
        <v>1</v>
      </c>
      <c r="C16" s="14">
        <f>_xlfn.CEILING.MATH(_xlfn.CEILING.MATH(B16/Sheet1!$M$9)/PrCloudDet!$H$12)</f>
        <v>1</v>
      </c>
      <c r="D16" s="10">
        <f>$F$11*C16</f>
        <v>15259.87</v>
      </c>
      <c r="E16" s="12">
        <f>_xlfn.CEILING.MATH(((C16*3)+(IF(_xlfn.CEILING.MATH((C16*3)/28)&lt;=1,_xlfn.CEILING.MATH((C16*3)/28),((_xlfn.CEILING.MATH((C16*3)/28))*(_xlfn.CEILING.MATH((C16*3)/28)-1))/2)))/28)</f>
        <v>1</v>
      </c>
      <c r="F16" s="10">
        <f>_xlfn.IFNA(VLOOKUP($E$14,Prices!$B$2:$D$50,2,FALSE),0)*E16</f>
        <v>2413.9899999999998</v>
      </c>
      <c r="G16" s="10">
        <f>(((_xlfn.IFNA(VLOOKUP($E$14,Prices!$B$2:$D$50,3,FALSE),0)*E16)*24*1826)/1000)*(_xlfn.IFNA(VLOOKUP($G$14,Prices!$B$2:$D$50,2,FALSE),0))*2</f>
        <v>335.25359999999995</v>
      </c>
      <c r="H16" s="10">
        <f>_xlfn.CEILING.MATH(C16/1000)</f>
        <v>1</v>
      </c>
      <c r="I16" s="10">
        <f>_xlfn.IFNA(VLOOKUP($I$14,Prices!$B$2:$D$50,2,FALSE),0)*H16</f>
        <v>526450</v>
      </c>
      <c r="J16" s="10">
        <f>(($G$11*24*1826)/1000)*(_xlfn.IFNA(VLOOKUP($J$14,Prices!$B$2:$D$50,2,FALSE),0))*C16*2</f>
        <v>8649.5428799999991</v>
      </c>
      <c r="K16" s="10">
        <f t="shared" ref="K16:K22" si="1">_xlfn.CEILING.MATH(C16/42)</f>
        <v>1</v>
      </c>
      <c r="L16" s="10">
        <f>_xlfn.IFNA(VLOOKUP($K$14,Prices!$B$2:$D$50,2,FALSE),0)*K16</f>
        <v>1654.73</v>
      </c>
      <c r="M16" s="10">
        <f>(((_xlfn.IFNA(VLOOKUP($K$14,Prices!$B$2:$D$50,3,FALSE),0)*K16)*24*1826)/1000)*(_xlfn.IFNA(VLOOKUP($M$14,Prices!$B$2:$D$50,2,FALSE),0))*2</f>
        <v>536.40575999999999</v>
      </c>
      <c r="N16" s="10">
        <f t="shared" ref="N16:N22" si="2">D16+F16+G16+I16+J16+L16+M16</f>
        <v>555299.79223999998</v>
      </c>
      <c r="O16" s="10">
        <f>N16/1826/24</f>
        <v>12.671134361080687</v>
      </c>
      <c r="P16" s="10">
        <f>O16/(C16*PrCloudDet!$H$11)</f>
        <v>1.3199098292792383E-2</v>
      </c>
      <c r="Q16" s="18">
        <f>O16/(Sheet1!$M$9*C36)</f>
        <v>3.9597294878377147E-2</v>
      </c>
    </row>
    <row r="17" spans="2:18" s="10" customFormat="1" x14ac:dyDescent="0.25">
      <c r="B17" s="10">
        <v>10</v>
      </c>
      <c r="C17" s="14">
        <f>_xlfn.CEILING.MATH(_xlfn.CEILING.MATH(B17/Sheet1!$M$9)/PrCloudDet!$H$12)</f>
        <v>1</v>
      </c>
      <c r="D17" s="10">
        <f t="shared" ref="D17:D22" si="3">$F$11*C17</f>
        <v>15259.87</v>
      </c>
      <c r="E17" s="13">
        <f t="shared" ref="E17:E22" si="4">_xlfn.CEILING.MATH(((C17*3)+(IF(_xlfn.CEILING.MATH((C17*3)/28)&lt;=1,_xlfn.CEILING.MATH((C17*3)/28),((_xlfn.CEILING.MATH((C17*3)/28))*(_xlfn.CEILING.MATH((C17*3)/28)-1))/2)))/28)</f>
        <v>1</v>
      </c>
      <c r="F17" s="10">
        <f>_xlfn.IFNA(VLOOKUP($E$14,Prices!$B$2:$D$50,2,FALSE),0)</f>
        <v>2413.9899999999998</v>
      </c>
      <c r="G17" s="10">
        <f>(((_xlfn.IFNA(VLOOKUP($E$14,Prices!$B$2:$D$50,3,FALSE),0)*E17)*24*1826)/1000)*(_xlfn.IFNA(VLOOKUP($G$14,Prices!$B$2:$D$50,2,FALSE),0))*2</f>
        <v>335.25359999999995</v>
      </c>
      <c r="H17" s="10">
        <f t="shared" ref="H17:H22" si="5">_xlfn.CEILING.MATH(C17/1000)</f>
        <v>1</v>
      </c>
      <c r="I17" s="10">
        <f>_xlfn.IFNA(VLOOKUP($I$14,Prices!$B$2:$D$50,2,FALSE),0)*H17</f>
        <v>526450</v>
      </c>
      <c r="J17" s="10">
        <f>(($G$11*24*1826)/1000)*(_xlfn.IFNA(VLOOKUP($J$14,Prices!$B$2:$D$50,2,FALSE),0))*C17*2</f>
        <v>8649.5428799999991</v>
      </c>
      <c r="K17" s="10">
        <f t="shared" si="1"/>
        <v>1</v>
      </c>
      <c r="L17" s="10">
        <f>_xlfn.IFNA(VLOOKUP($K$14,Prices!$B$2:$D$50,2,FALSE),0)*K17</f>
        <v>1654.73</v>
      </c>
      <c r="M17" s="10">
        <f>(((_xlfn.IFNA(VLOOKUP($K$14,Prices!$B$2:$D$50,3,FALSE),0)*K17)*24*1826)/1000)*(_xlfn.IFNA(VLOOKUP($M$14,Prices!$B$2:$D$50,2,FALSE),0))*2</f>
        <v>536.40575999999999</v>
      </c>
      <c r="N17" s="10">
        <f t="shared" si="2"/>
        <v>555299.79223999998</v>
      </c>
      <c r="O17" s="10">
        <f t="shared" ref="O17:O22" si="6">N17/1826/24</f>
        <v>12.671134361080687</v>
      </c>
      <c r="P17" s="10">
        <f>O17/(C17*PrCloudDet!$H$11)</f>
        <v>1.3199098292792383E-2</v>
      </c>
      <c r="Q17" s="18">
        <f>O17/(Sheet1!$M$9*C37)</f>
        <v>3.9597294878377147E-2</v>
      </c>
    </row>
    <row r="18" spans="2:18" s="10" customFormat="1" x14ac:dyDescent="0.25">
      <c r="B18" s="10">
        <v>100</v>
      </c>
      <c r="C18" s="14">
        <f>_xlfn.CEILING.MATH(_xlfn.CEILING.MATH(B18/Sheet1!$M$9)/PrCloudDet!$H$12)</f>
        <v>1</v>
      </c>
      <c r="D18" s="10">
        <f t="shared" si="3"/>
        <v>15259.87</v>
      </c>
      <c r="E18" s="13">
        <f t="shared" si="4"/>
        <v>1</v>
      </c>
      <c r="F18" s="10">
        <f>_xlfn.IFNA(VLOOKUP($E$14,Prices!$B$2:$D$50,2,FALSE),0)</f>
        <v>2413.9899999999998</v>
      </c>
      <c r="G18" s="10">
        <f>(((_xlfn.IFNA(VLOOKUP($E$14,Prices!$B$2:$D$50,3,FALSE),0)*E18)*24*1826)/1000)*(_xlfn.IFNA(VLOOKUP($G$14,Prices!$B$2:$D$50,2,FALSE),0))*2</f>
        <v>335.25359999999995</v>
      </c>
      <c r="H18" s="10">
        <f t="shared" si="5"/>
        <v>1</v>
      </c>
      <c r="I18" s="10">
        <f>_xlfn.IFNA(VLOOKUP($I$14,Prices!$B$2:$D$50,2,FALSE),0)*H18</f>
        <v>526450</v>
      </c>
      <c r="J18" s="10">
        <f>(($G$11*24*1826)/1000)*(_xlfn.IFNA(VLOOKUP($J$14,Prices!$B$2:$D$50,2,FALSE),0))*C18*2</f>
        <v>8649.5428799999991</v>
      </c>
      <c r="K18" s="10">
        <f t="shared" si="1"/>
        <v>1</v>
      </c>
      <c r="L18" s="10">
        <f>_xlfn.IFNA(VLOOKUP($K$14,Prices!$B$2:$D$50,2,FALSE),0)*K18</f>
        <v>1654.73</v>
      </c>
      <c r="M18" s="10">
        <f>(((_xlfn.IFNA(VLOOKUP($K$14,Prices!$B$2:$D$50,3,FALSE),0)*K18)*24*1826)/1000)*(_xlfn.IFNA(VLOOKUP($M$14,Prices!$B$2:$D$50,2,FALSE),0))*2</f>
        <v>536.40575999999999</v>
      </c>
      <c r="N18" s="10">
        <f t="shared" si="2"/>
        <v>555299.79223999998</v>
      </c>
      <c r="O18" s="10">
        <f t="shared" si="6"/>
        <v>12.671134361080687</v>
      </c>
      <c r="P18" s="10">
        <f>O18/(C18*PrCloudDet!$H$11)</f>
        <v>1.3199098292792383E-2</v>
      </c>
      <c r="Q18" s="18">
        <f>O18/(Sheet1!$M$9*C38)</f>
        <v>3.9597294878377147E-2</v>
      </c>
    </row>
    <row r="19" spans="2:18" s="10" customFormat="1" x14ac:dyDescent="0.25">
      <c r="B19" s="10">
        <v>1000</v>
      </c>
      <c r="C19" s="14">
        <f>_xlfn.CEILING.MATH(_xlfn.CEILING.MATH(B19/Sheet1!$M$9)/PrCloudDet!$H$12)</f>
        <v>2</v>
      </c>
      <c r="D19" s="10">
        <f t="shared" si="3"/>
        <v>30519.74</v>
      </c>
      <c r="E19" s="13">
        <f t="shared" si="4"/>
        <v>1</v>
      </c>
      <c r="F19" s="10">
        <f>_xlfn.IFNA(VLOOKUP($E$14,Prices!$B$2:$D$50,2,FALSE),0)</f>
        <v>2413.9899999999998</v>
      </c>
      <c r="G19" s="10">
        <f>(((_xlfn.IFNA(VLOOKUP($E$14,Prices!$B$2:$D$50,3,FALSE),0)*E19)*24*1826)/1000)*(_xlfn.IFNA(VLOOKUP($G$14,Prices!$B$2:$D$50,2,FALSE),0))*2</f>
        <v>335.25359999999995</v>
      </c>
      <c r="H19" s="10">
        <f t="shared" si="5"/>
        <v>1</v>
      </c>
      <c r="I19" s="10">
        <f>_xlfn.IFNA(VLOOKUP($I$14,Prices!$B$2:$D$50,2,FALSE),0)*H19</f>
        <v>526450</v>
      </c>
      <c r="J19" s="10">
        <f>(($G$11*24*1826)/1000)*(_xlfn.IFNA(VLOOKUP($J$14,Prices!$B$2:$D$50,2,FALSE),0))*C19*2</f>
        <v>17299.085759999998</v>
      </c>
      <c r="K19" s="10">
        <f t="shared" si="1"/>
        <v>1</v>
      </c>
      <c r="L19" s="10">
        <f>_xlfn.IFNA(VLOOKUP($K$14,Prices!$B$2:$D$50,2,FALSE),0)*K19</f>
        <v>1654.73</v>
      </c>
      <c r="M19" s="10">
        <f>(((_xlfn.IFNA(VLOOKUP($K$14,Prices!$B$2:$D$50,3,FALSE),0)*K19)*24*1826)/1000)*(_xlfn.IFNA(VLOOKUP($M$14,Prices!$B$2:$D$50,2,FALSE),0))*2</f>
        <v>536.40575999999999</v>
      </c>
      <c r="N19" s="10">
        <f t="shared" si="2"/>
        <v>579209.20512000006</v>
      </c>
      <c r="O19" s="10">
        <f t="shared" si="6"/>
        <v>13.216712420591458</v>
      </c>
      <c r="P19" s="10">
        <f>O19/(C19*PrCloudDet!$H$11)</f>
        <v>6.8837043857247178E-3</v>
      </c>
      <c r="Q19" s="18">
        <f>O19/(Sheet1!$M$9*C39)</f>
        <v>1.0325556578587077E-2</v>
      </c>
    </row>
    <row r="20" spans="2:18" s="10" customFormat="1" x14ac:dyDescent="0.25">
      <c r="B20" s="10">
        <v>10000</v>
      </c>
      <c r="C20" s="14">
        <f>_xlfn.CEILING.MATH(_xlfn.CEILING.MATH(B20/Sheet1!$M$9)/PrCloudDet!$H$12)</f>
        <v>11</v>
      </c>
      <c r="D20" s="10">
        <f t="shared" si="3"/>
        <v>167858.57</v>
      </c>
      <c r="E20" s="13">
        <f t="shared" si="4"/>
        <v>2</v>
      </c>
      <c r="F20" s="10">
        <f>_xlfn.IFNA(VLOOKUP($E$14,Prices!$B$2:$D$50,2,FALSE),0)</f>
        <v>2413.9899999999998</v>
      </c>
      <c r="G20" s="10">
        <f>(((_xlfn.IFNA(VLOOKUP($E$14,Prices!$B$2:$D$50,3,FALSE),0)*E20)*24*1826)/1000)*(_xlfn.IFNA(VLOOKUP($G$14,Prices!$B$2:$D$50,2,FALSE),0))*2</f>
        <v>670.5071999999999</v>
      </c>
      <c r="H20" s="10">
        <f t="shared" si="5"/>
        <v>1</v>
      </c>
      <c r="I20" s="10">
        <f>_xlfn.IFNA(VLOOKUP($I$14,Prices!$B$2:$D$50,2,FALSE),0)*H20</f>
        <v>526450</v>
      </c>
      <c r="J20" s="10">
        <f>(($G$11*24*1826)/1000)*(_xlfn.IFNA(VLOOKUP($J$14,Prices!$B$2:$D$50,2,FALSE),0))*C20*2</f>
        <v>95144.971679999988</v>
      </c>
      <c r="K20" s="10">
        <f t="shared" si="1"/>
        <v>1</v>
      </c>
      <c r="L20" s="10">
        <f>_xlfn.IFNA(VLOOKUP($K$14,Prices!$B$2:$D$50,2,FALSE),0)*K20</f>
        <v>1654.73</v>
      </c>
      <c r="M20" s="10">
        <f>(((_xlfn.IFNA(VLOOKUP($K$14,Prices!$B$2:$D$50,3,FALSE),0)*K20)*24*1826)/1000)*(_xlfn.IFNA(VLOOKUP($M$14,Prices!$B$2:$D$50,2,FALSE),0))*2</f>
        <v>536.40575999999999</v>
      </c>
      <c r="N20" s="10">
        <f t="shared" si="2"/>
        <v>794729.17463999987</v>
      </c>
      <c r="O20" s="10">
        <f t="shared" si="6"/>
        <v>18.134564956188388</v>
      </c>
      <c r="P20" s="10">
        <f>O20/(C20*PrCloudDet!$H$11)</f>
        <v>1.7172883481239003E-3</v>
      </c>
      <c r="Q20" s="18">
        <f>O20/(Sheet1!$M$9*C40)</f>
        <v>1.7709536090027723E-3</v>
      </c>
    </row>
    <row r="21" spans="2:18" s="10" customFormat="1" x14ac:dyDescent="0.25">
      <c r="B21" s="10">
        <v>100000</v>
      </c>
      <c r="C21" s="14">
        <f>_xlfn.CEILING.MATH(_xlfn.CEILING.MATH(B21/Sheet1!$M$9)/PrCloudDet!$H$12)</f>
        <v>105</v>
      </c>
      <c r="D21" s="10">
        <f t="shared" si="3"/>
        <v>1602286.35</v>
      </c>
      <c r="E21" s="13">
        <f t="shared" si="4"/>
        <v>14</v>
      </c>
      <c r="F21" s="10">
        <f>_xlfn.IFNA(VLOOKUP($E$14,Prices!$B$2:$D$50,2,FALSE),0)</f>
        <v>2413.9899999999998</v>
      </c>
      <c r="G21" s="10">
        <f>(((_xlfn.IFNA(VLOOKUP($E$14,Prices!$B$2:$D$50,3,FALSE),0)*E21)*24*1826)/1000)*(_xlfn.IFNA(VLOOKUP($G$14,Prices!$B$2:$D$50,2,FALSE),0))*2</f>
        <v>4693.5504000000001</v>
      </c>
      <c r="H21" s="10">
        <f t="shared" si="5"/>
        <v>1</v>
      </c>
      <c r="I21" s="10">
        <f>_xlfn.IFNA(VLOOKUP($I$14,Prices!$B$2:$D$50,2,FALSE),0)*H21</f>
        <v>526450</v>
      </c>
      <c r="J21" s="10">
        <f>(($G$11*24*1826)/1000)*(_xlfn.IFNA(VLOOKUP($J$14,Prices!$B$2:$D$50,2,FALSE),0))*C21*2</f>
        <v>908202.00239999988</v>
      </c>
      <c r="K21" s="10">
        <f t="shared" si="1"/>
        <v>3</v>
      </c>
      <c r="L21" s="10">
        <f>_xlfn.IFNA(VLOOKUP($K$14,Prices!$B$2:$D$50,2,FALSE),0)*K21</f>
        <v>4964.1900000000005</v>
      </c>
      <c r="M21" s="10">
        <f>(((_xlfn.IFNA(VLOOKUP($K$14,Prices!$B$2:$D$50,3,FALSE),0)*K21)*24*1826)/1000)*(_xlfn.IFNA(VLOOKUP($M$14,Prices!$B$2:$D$50,2,FALSE),0))*2</f>
        <v>1609.2172800000001</v>
      </c>
      <c r="N21" s="10">
        <f t="shared" si="2"/>
        <v>3050619.3000799995</v>
      </c>
      <c r="O21" s="10">
        <f t="shared" si="6"/>
        <v>69.610699618473888</v>
      </c>
      <c r="P21" s="10">
        <f>O21/(C21*PrCloudDet!$H$11)</f>
        <v>6.9058233748485996E-4</v>
      </c>
      <c r="Q21" s="18">
        <f>O21/(Sheet1!$M$9*C41)</f>
        <v>6.9499500417805396E-4</v>
      </c>
    </row>
    <row r="22" spans="2:18" s="10" customFormat="1" x14ac:dyDescent="0.25">
      <c r="B22" s="10">
        <v>1000000</v>
      </c>
      <c r="C22" s="14">
        <f>_xlfn.CEILING.MATH(_xlfn.CEILING.MATH(B22/Sheet1!$M$9)/PrCloudDet!$H$12)</f>
        <v>1042</v>
      </c>
      <c r="D22" s="10">
        <f t="shared" si="3"/>
        <v>15900784.540000001</v>
      </c>
      <c r="E22" s="13">
        <f t="shared" si="4"/>
        <v>334</v>
      </c>
      <c r="F22" s="10">
        <f>_xlfn.IFNA(VLOOKUP($E$14,Prices!$B$2:$D$50,2,FALSE),0)</f>
        <v>2413.9899999999998</v>
      </c>
      <c r="G22" s="10">
        <f>(((_xlfn.IFNA(VLOOKUP($E$14,Prices!$B$2:$D$50,3,FALSE),0)*E22)*24*1826)/1000)*(_xlfn.IFNA(VLOOKUP($G$14,Prices!$B$2:$D$50,2,FALSE),0))*2</f>
        <v>111974.70240000001</v>
      </c>
      <c r="H22" s="10">
        <f t="shared" si="5"/>
        <v>2</v>
      </c>
      <c r="I22" s="10">
        <f>_xlfn.IFNA(VLOOKUP($I$14,Prices!$B$2:$D$50,2,FALSE),0)*H22</f>
        <v>1052900</v>
      </c>
      <c r="J22" s="10">
        <f>(($G$11*24*1826)/1000)*(_xlfn.IFNA(VLOOKUP($J$14,Prices!$B$2:$D$50,2,FALSE),0))*C22*2</f>
        <v>9012823.6809599996</v>
      </c>
      <c r="K22" s="10">
        <f t="shared" si="1"/>
        <v>25</v>
      </c>
      <c r="L22" s="10">
        <f>_xlfn.IFNA(VLOOKUP($K$14,Prices!$B$2:$D$50,2,FALSE),0)*K22</f>
        <v>41368.25</v>
      </c>
      <c r="M22" s="10">
        <f>(((_xlfn.IFNA(VLOOKUP($K$14,Prices!$B$2:$D$50,3,FALSE),0)*K22)*24*1826)/1000)*(_xlfn.IFNA(VLOOKUP($M$14,Prices!$B$2:$D$50,2,FALSE),0))*2</f>
        <v>13410.144</v>
      </c>
      <c r="N22" s="10">
        <f t="shared" si="2"/>
        <v>26135675.307360001</v>
      </c>
      <c r="O22" s="10">
        <f t="shared" si="6"/>
        <v>596.37813315443589</v>
      </c>
      <c r="P22" s="10">
        <f>O22/(C22*PrCloudDet!$H$11)</f>
        <v>5.9618735320141145E-4</v>
      </c>
      <c r="Q22" s="18">
        <f>O22/(Sheet1!$M$9*C42)</f>
        <v>5.9637813315443588E-4</v>
      </c>
    </row>
    <row r="23" spans="2:18" s="8" customFormat="1" x14ac:dyDescent="0.25">
      <c r="B23" s="18">
        <v>625</v>
      </c>
      <c r="C23" s="18">
        <f>_xlfn.CEILING.MATH(_xlfn.CEILING.MATH(B23/Sheet1!$M$9)/PrCloudDet!$H$12)</f>
        <v>1</v>
      </c>
      <c r="D23" s="18">
        <f t="shared" ref="D23:D29" si="7">$F$11*C23</f>
        <v>15259.87</v>
      </c>
      <c r="E23" s="18">
        <f t="shared" ref="E23:E29" si="8">_xlfn.CEILING.MATH(((C23*3)+(IF(_xlfn.CEILING.MATH((C23*3)/28)&lt;=1,_xlfn.CEILING.MATH((C23*3)/28),((_xlfn.CEILING.MATH((C23*3)/28))*(_xlfn.CEILING.MATH((C23*3)/28)-1))/2)))/28)</f>
        <v>1</v>
      </c>
      <c r="F23" s="18">
        <f>_xlfn.IFNA(VLOOKUP($E$14,Prices!$B$2:$D$50,2,FALSE),0)</f>
        <v>2413.9899999999998</v>
      </c>
      <c r="G23" s="18">
        <f>(((_xlfn.IFNA(VLOOKUP($E$14,Prices!$B$2:$D$50,3,FALSE),0)*E23)*24*1826)/1000)*(_xlfn.IFNA(VLOOKUP($G$14,Prices!$B$2:$D$50,2,FALSE),0))*2</f>
        <v>335.25359999999995</v>
      </c>
      <c r="H23" s="18">
        <f t="shared" ref="H23:H29" si="9">_xlfn.CEILING.MATH(C23/1000)</f>
        <v>1</v>
      </c>
      <c r="I23" s="18">
        <f>_xlfn.IFNA(VLOOKUP($I$14,Prices!$B$2:$D$50,2,FALSE),0)*H23</f>
        <v>526450</v>
      </c>
      <c r="J23" s="18">
        <f>(($G$11*24*1826)/1000)*(_xlfn.IFNA(VLOOKUP($J$14,Prices!$B$2:$D$50,2,FALSE),0))*C23*2</f>
        <v>8649.5428799999991</v>
      </c>
      <c r="K23" s="18">
        <f t="shared" ref="K23:K29" si="10">_xlfn.CEILING.MATH(C23/42)</f>
        <v>1</v>
      </c>
      <c r="L23" s="18">
        <f>_xlfn.IFNA(VLOOKUP($K$14,Prices!$B$2:$D$50,2,FALSE),0)*K23</f>
        <v>1654.73</v>
      </c>
      <c r="M23" s="18">
        <f>(((_xlfn.IFNA(VLOOKUP($K$14,Prices!$B$2:$D$50,3,FALSE),0)*K23)*24*1826)/1000)*(_xlfn.IFNA(VLOOKUP($M$14,Prices!$B$2:$D$50,2,FALSE),0))*2</f>
        <v>536.40575999999999</v>
      </c>
      <c r="N23" s="18">
        <f t="shared" ref="N23:N29" si="11">D23+F23+G23+I23+J23+L23+M23</f>
        <v>555299.79223999998</v>
      </c>
      <c r="O23" s="18">
        <f t="shared" ref="O23:O29" si="12">N23/1826/24</f>
        <v>12.671134361080687</v>
      </c>
      <c r="P23" s="18">
        <f>O23/(C23*PrCloudDet!$H$11)</f>
        <v>1.3199098292792383E-2</v>
      </c>
      <c r="Q23" s="18">
        <f>O23/(Sheet1!$M$9*C43)</f>
        <v>1.9798647439188573E-2</v>
      </c>
      <c r="R23" s="8">
        <v>2.1312500000000002E-2</v>
      </c>
    </row>
    <row r="24" spans="2:18" s="18" customFormat="1" x14ac:dyDescent="0.25">
      <c r="B24" s="18">
        <v>1375</v>
      </c>
      <c r="C24" s="18">
        <f>_xlfn.CEILING.MATH(_xlfn.CEILING.MATH(B24/Sheet1!$M$9)/PrCloudDet!$H$12)</f>
        <v>2</v>
      </c>
      <c r="D24" s="18">
        <f t="shared" si="7"/>
        <v>30519.74</v>
      </c>
      <c r="E24" s="18">
        <f t="shared" si="8"/>
        <v>1</v>
      </c>
      <c r="F24" s="18">
        <f>_xlfn.IFNA(VLOOKUP($E$14,Prices!$B$2:$D$50,2,FALSE),0)</f>
        <v>2413.9899999999998</v>
      </c>
      <c r="G24" s="18">
        <f>(((_xlfn.IFNA(VLOOKUP($E$14,Prices!$B$2:$D$50,3,FALSE),0)*E24)*24*1826)/1000)*(_xlfn.IFNA(VLOOKUP($G$14,Prices!$B$2:$D$50,2,FALSE),0))*2</f>
        <v>335.25359999999995</v>
      </c>
      <c r="H24" s="18">
        <f t="shared" si="9"/>
        <v>1</v>
      </c>
      <c r="I24" s="18">
        <f>_xlfn.IFNA(VLOOKUP($I$14,Prices!$B$2:$D$50,2,FALSE),0)*H24</f>
        <v>526450</v>
      </c>
      <c r="J24" s="18">
        <f>(($G$11*24*1826)/1000)*(_xlfn.IFNA(VLOOKUP($J$14,Prices!$B$2:$D$50,2,FALSE),0))*C24*2</f>
        <v>17299.085759999998</v>
      </c>
      <c r="K24" s="18">
        <f t="shared" si="10"/>
        <v>1</v>
      </c>
      <c r="L24" s="18">
        <f>_xlfn.IFNA(VLOOKUP($K$14,Prices!$B$2:$D$50,2,FALSE),0)*K24</f>
        <v>1654.73</v>
      </c>
      <c r="M24" s="18">
        <f>(((_xlfn.IFNA(VLOOKUP($K$14,Prices!$B$2:$D$50,3,FALSE),0)*K24)*24*1826)/1000)*(_xlfn.IFNA(VLOOKUP($M$14,Prices!$B$2:$D$50,2,FALSE),0))*2</f>
        <v>536.40575999999999</v>
      </c>
      <c r="N24" s="18">
        <f t="shared" si="11"/>
        <v>579209.20512000006</v>
      </c>
      <c r="O24" s="18">
        <f t="shared" si="12"/>
        <v>13.216712420591458</v>
      </c>
      <c r="P24" s="18">
        <f>O24/(C24*PrCloudDet!$H$11)</f>
        <v>6.8837043857247178E-3</v>
      </c>
      <c r="Q24" s="18">
        <f>O24/(Sheet1!$M$9*C44)</f>
        <v>8.2604452628696617E-3</v>
      </c>
    </row>
    <row r="25" spans="2:18" s="18" customFormat="1" x14ac:dyDescent="0.25">
      <c r="B25" s="18">
        <v>1600</v>
      </c>
      <c r="C25" s="18">
        <f>_xlfn.CEILING.MATH(_xlfn.CEILING.MATH(B25/Sheet1!$M$9)/PrCloudDet!$H$12)</f>
        <v>2</v>
      </c>
      <c r="D25" s="18">
        <f t="shared" si="7"/>
        <v>30519.74</v>
      </c>
      <c r="E25" s="18">
        <f t="shared" si="8"/>
        <v>1</v>
      </c>
      <c r="F25" s="18">
        <f>_xlfn.IFNA(VLOOKUP($E$14,Prices!$B$2:$D$50,2,FALSE),0)</f>
        <v>2413.9899999999998</v>
      </c>
      <c r="G25" s="18">
        <f>(((_xlfn.IFNA(VLOOKUP($E$14,Prices!$B$2:$D$50,3,FALSE),0)*E25)*24*1826)/1000)*(_xlfn.IFNA(VLOOKUP($G$14,Prices!$B$2:$D$50,2,FALSE),0))*2</f>
        <v>335.25359999999995</v>
      </c>
      <c r="H25" s="18">
        <f t="shared" si="9"/>
        <v>1</v>
      </c>
      <c r="I25" s="18">
        <f>_xlfn.IFNA(VLOOKUP($I$14,Prices!$B$2:$D$50,2,FALSE),0)*H25</f>
        <v>526450</v>
      </c>
      <c r="J25" s="18">
        <f>(($G$11*24*1826)/1000)*(_xlfn.IFNA(VLOOKUP($J$14,Prices!$B$2:$D$50,2,FALSE),0))*C25*2</f>
        <v>17299.085759999998</v>
      </c>
      <c r="K25" s="18">
        <f t="shared" si="10"/>
        <v>1</v>
      </c>
      <c r="L25" s="18">
        <f>_xlfn.IFNA(VLOOKUP($K$14,Prices!$B$2:$D$50,2,FALSE),0)*K25</f>
        <v>1654.73</v>
      </c>
      <c r="M25" s="18">
        <f>(((_xlfn.IFNA(VLOOKUP($K$14,Prices!$B$2:$D$50,3,FALSE),0)*K25)*24*1826)/1000)*(_xlfn.IFNA(VLOOKUP($M$14,Prices!$B$2:$D$50,2,FALSE),0))*2</f>
        <v>536.40575999999999</v>
      </c>
      <c r="N25" s="18">
        <f t="shared" si="11"/>
        <v>579209.20512000006</v>
      </c>
      <c r="O25" s="18">
        <f t="shared" si="12"/>
        <v>13.216712420591458</v>
      </c>
      <c r="P25" s="18">
        <f>O25/(C25*PrCloudDet!$H$11)</f>
        <v>6.8837043857247178E-3</v>
      </c>
      <c r="Q25" s="18">
        <f>O25/(Sheet1!$M$9*C45)</f>
        <v>8.2604452628696617E-3</v>
      </c>
    </row>
    <row r="26" spans="2:18" s="18" customFormat="1" x14ac:dyDescent="0.25">
      <c r="B26" s="18">
        <v>1900</v>
      </c>
      <c r="C26" s="18">
        <f>_xlfn.CEILING.MATH(_xlfn.CEILING.MATH(B26/Sheet1!$M$9)/PrCloudDet!$H$12)</f>
        <v>2</v>
      </c>
      <c r="D26" s="18">
        <f t="shared" si="7"/>
        <v>30519.74</v>
      </c>
      <c r="E26" s="18">
        <f t="shared" si="8"/>
        <v>1</v>
      </c>
      <c r="F26" s="18">
        <f>_xlfn.IFNA(VLOOKUP($E$14,Prices!$B$2:$D$50,2,FALSE),0)</f>
        <v>2413.9899999999998</v>
      </c>
      <c r="G26" s="18">
        <f>(((_xlfn.IFNA(VLOOKUP($E$14,Prices!$B$2:$D$50,3,FALSE),0)*E26)*24*1826)/1000)*(_xlfn.IFNA(VLOOKUP($G$14,Prices!$B$2:$D$50,2,FALSE),0))*2</f>
        <v>335.25359999999995</v>
      </c>
      <c r="H26" s="18">
        <f t="shared" si="9"/>
        <v>1</v>
      </c>
      <c r="I26" s="18">
        <f>_xlfn.IFNA(VLOOKUP($I$14,Prices!$B$2:$D$50,2,FALSE),0)*H26</f>
        <v>526450</v>
      </c>
      <c r="J26" s="18">
        <f>(($G$11*24*1826)/1000)*(_xlfn.IFNA(VLOOKUP($J$14,Prices!$B$2:$D$50,2,FALSE),0))*C26*2</f>
        <v>17299.085759999998</v>
      </c>
      <c r="K26" s="18">
        <f t="shared" si="10"/>
        <v>1</v>
      </c>
      <c r="L26" s="18">
        <f>_xlfn.IFNA(VLOOKUP($K$14,Prices!$B$2:$D$50,2,FALSE),0)*K26</f>
        <v>1654.73</v>
      </c>
      <c r="M26" s="18">
        <f>(((_xlfn.IFNA(VLOOKUP($K$14,Prices!$B$2:$D$50,3,FALSE),0)*K26)*24*1826)/1000)*(_xlfn.IFNA(VLOOKUP($M$14,Prices!$B$2:$D$50,2,FALSE),0))*2</f>
        <v>536.40575999999999</v>
      </c>
      <c r="N26" s="18">
        <f t="shared" si="11"/>
        <v>579209.20512000006</v>
      </c>
      <c r="O26" s="18">
        <f t="shared" si="12"/>
        <v>13.216712420591458</v>
      </c>
      <c r="P26" s="18">
        <f>O26/(C26*PrCloudDet!$H$11)</f>
        <v>6.8837043857247178E-3</v>
      </c>
      <c r="Q26" s="18">
        <f>O26/(Sheet1!$M$9*C46)</f>
        <v>6.8837043857247178E-3</v>
      </c>
    </row>
    <row r="27" spans="2:18" s="18" customFormat="1" x14ac:dyDescent="0.25">
      <c r="B27" s="18">
        <v>2865</v>
      </c>
      <c r="C27" s="18">
        <f>_xlfn.CEILING.MATH(_xlfn.CEILING.MATH(B27/Sheet1!$M$9)/PrCloudDet!$H$12)</f>
        <v>3</v>
      </c>
      <c r="D27" s="18">
        <f t="shared" si="7"/>
        <v>45779.61</v>
      </c>
      <c r="E27" s="18">
        <f t="shared" si="8"/>
        <v>1</v>
      </c>
      <c r="F27" s="18">
        <f>_xlfn.IFNA(VLOOKUP($E$14,Prices!$B$2:$D$50,2,FALSE),0)</f>
        <v>2413.9899999999998</v>
      </c>
      <c r="G27" s="18">
        <f>(((_xlfn.IFNA(VLOOKUP($E$14,Prices!$B$2:$D$50,3,FALSE),0)*E27)*24*1826)/1000)*(_xlfn.IFNA(VLOOKUP($G$14,Prices!$B$2:$D$50,2,FALSE),0))*2</f>
        <v>335.25359999999995</v>
      </c>
      <c r="H27" s="18">
        <f t="shared" si="9"/>
        <v>1</v>
      </c>
      <c r="I27" s="18">
        <f>_xlfn.IFNA(VLOOKUP($I$14,Prices!$B$2:$D$50,2,FALSE),0)*H27</f>
        <v>526450</v>
      </c>
      <c r="J27" s="18">
        <f>(($G$11*24*1826)/1000)*(_xlfn.IFNA(VLOOKUP($J$14,Prices!$B$2:$D$50,2,FALSE),0))*C27*2</f>
        <v>25948.628639999995</v>
      </c>
      <c r="K27" s="18">
        <f t="shared" si="10"/>
        <v>1</v>
      </c>
      <c r="L27" s="18">
        <f>_xlfn.IFNA(VLOOKUP($K$14,Prices!$B$2:$D$50,2,FALSE),0)*K27</f>
        <v>1654.73</v>
      </c>
      <c r="M27" s="18">
        <f>(((_xlfn.IFNA(VLOOKUP($K$14,Prices!$B$2:$D$50,3,FALSE),0)*K27)*24*1826)/1000)*(_xlfn.IFNA(VLOOKUP($M$14,Prices!$B$2:$D$50,2,FALSE),0))*2</f>
        <v>536.40575999999999</v>
      </c>
      <c r="N27" s="18">
        <f t="shared" si="11"/>
        <v>603118.61800000002</v>
      </c>
      <c r="O27" s="18">
        <f t="shared" si="12"/>
        <v>13.762290480102228</v>
      </c>
      <c r="P27" s="18">
        <f>O27/(C27*PrCloudDet!$H$11)</f>
        <v>4.7785730833688296E-3</v>
      </c>
      <c r="Q27" s="18">
        <f>O27/(Sheet1!$M$9*C47)</f>
        <v>4.7785730833688296E-3</v>
      </c>
    </row>
    <row r="28" spans="2:18" s="18" customFormat="1" x14ac:dyDescent="0.25">
      <c r="B28" s="18">
        <v>3840</v>
      </c>
      <c r="C28" s="18">
        <f>_xlfn.CEILING.MATH(_xlfn.CEILING.MATH(B28/Sheet1!$M$9)/PrCloudDet!$H$12)</f>
        <v>4</v>
      </c>
      <c r="D28" s="18">
        <f t="shared" si="7"/>
        <v>61039.48</v>
      </c>
      <c r="E28" s="18">
        <f t="shared" si="8"/>
        <v>1</v>
      </c>
      <c r="F28" s="18">
        <f>_xlfn.IFNA(VLOOKUP($E$14,Prices!$B$2:$D$50,2,FALSE),0)</f>
        <v>2413.9899999999998</v>
      </c>
      <c r="G28" s="18">
        <f>(((_xlfn.IFNA(VLOOKUP($E$14,Prices!$B$2:$D$50,3,FALSE),0)*E28)*24*1826)/1000)*(_xlfn.IFNA(VLOOKUP($G$14,Prices!$B$2:$D$50,2,FALSE),0))*2</f>
        <v>335.25359999999995</v>
      </c>
      <c r="H28" s="18">
        <f t="shared" si="9"/>
        <v>1</v>
      </c>
      <c r="I28" s="18">
        <f>_xlfn.IFNA(VLOOKUP($I$14,Prices!$B$2:$D$50,2,FALSE),0)*H28</f>
        <v>526450</v>
      </c>
      <c r="J28" s="18">
        <f>(($G$11*24*1826)/1000)*(_xlfn.IFNA(VLOOKUP($J$14,Prices!$B$2:$D$50,2,FALSE),0))*C28*2</f>
        <v>34598.171519999996</v>
      </c>
      <c r="K28" s="18">
        <f t="shared" si="10"/>
        <v>1</v>
      </c>
      <c r="L28" s="18">
        <f>_xlfn.IFNA(VLOOKUP($K$14,Prices!$B$2:$D$50,2,FALSE),0)*K28</f>
        <v>1654.73</v>
      </c>
      <c r="M28" s="18">
        <f>(((_xlfn.IFNA(VLOOKUP($K$14,Prices!$B$2:$D$50,3,FALSE),0)*K28)*24*1826)/1000)*(_xlfn.IFNA(VLOOKUP($M$14,Prices!$B$2:$D$50,2,FALSE),0))*2</f>
        <v>536.40575999999999</v>
      </c>
      <c r="N28" s="18">
        <f t="shared" si="11"/>
        <v>627028.03087999998</v>
      </c>
      <c r="O28" s="18">
        <f t="shared" si="12"/>
        <v>14.307868539612997</v>
      </c>
      <c r="P28" s="18">
        <f>O28/(C28*PrCloudDet!$H$11)</f>
        <v>3.7260074321908846E-3</v>
      </c>
      <c r="Q28" s="18">
        <f>O28/(Sheet1!$M$9*C48)</f>
        <v>3.7260074321908846E-3</v>
      </c>
    </row>
    <row r="29" spans="2:18" s="18" customFormat="1" x14ac:dyDescent="0.25">
      <c r="B29" s="18">
        <v>55675</v>
      </c>
      <c r="C29" s="18">
        <f>_xlfn.CEILING.MATH(_xlfn.CEILING.MATH(B29/Sheet1!$M$9)/PrCloudDet!$H$12)</f>
        <v>58</v>
      </c>
      <c r="D29" s="18">
        <f t="shared" si="7"/>
        <v>885072.46000000008</v>
      </c>
      <c r="E29" s="18">
        <f t="shared" si="8"/>
        <v>7</v>
      </c>
      <c r="F29" s="18">
        <f>_xlfn.IFNA(VLOOKUP($E$14,Prices!$B$2:$D$50,2,FALSE),0)</f>
        <v>2413.9899999999998</v>
      </c>
      <c r="G29" s="18">
        <f>(((_xlfn.IFNA(VLOOKUP($E$14,Prices!$B$2:$D$50,3,FALSE),0)*E29)*24*1826)/1000)*(_xlfn.IFNA(VLOOKUP($G$14,Prices!$B$2:$D$50,2,FALSE),0))*2</f>
        <v>2346.7752</v>
      </c>
      <c r="H29" s="18">
        <f t="shared" si="9"/>
        <v>1</v>
      </c>
      <c r="I29" s="18">
        <f>_xlfn.IFNA(VLOOKUP($I$14,Prices!$B$2:$D$50,2,FALSE),0)*H29</f>
        <v>526450</v>
      </c>
      <c r="J29" s="18">
        <f>(($G$11*24*1826)/1000)*(_xlfn.IFNA(VLOOKUP($J$14,Prices!$B$2:$D$50,2,FALSE),0))*C29*2</f>
        <v>501673.48703999992</v>
      </c>
      <c r="K29" s="18">
        <f t="shared" si="10"/>
        <v>2</v>
      </c>
      <c r="L29" s="18">
        <f>_xlfn.IFNA(VLOOKUP($K$14,Prices!$B$2:$D$50,2,FALSE),0)*K29</f>
        <v>3309.46</v>
      </c>
      <c r="M29" s="18">
        <f>(((_xlfn.IFNA(VLOOKUP($K$14,Prices!$B$2:$D$50,3,FALSE),0)*K29)*24*1826)/1000)*(_xlfn.IFNA(VLOOKUP($M$14,Prices!$B$2:$D$50,2,FALSE),0))*2</f>
        <v>1072.81152</v>
      </c>
      <c r="N29" s="18">
        <f t="shared" si="11"/>
        <v>1922338.9837600002</v>
      </c>
      <c r="O29" s="18">
        <f t="shared" si="12"/>
        <v>43.864982287331145</v>
      </c>
      <c r="P29" s="18">
        <f>O29/(C29*PrCloudDet!$H$11)</f>
        <v>7.8780499797649324E-4</v>
      </c>
      <c r="Q29" s="18">
        <f>O29/(Sheet1!$M$9*C49)</f>
        <v>7.8780499797649324E-4</v>
      </c>
    </row>
    <row r="30" spans="2:18" s="18" customFormat="1" x14ac:dyDescent="0.25"/>
    <row r="31" spans="2:18" s="18" customFormat="1" x14ac:dyDescent="0.25"/>
    <row r="32" spans="2:18" s="18" customFormat="1" x14ac:dyDescent="0.25"/>
    <row r="33" spans="2:13" s="18" customFormat="1" x14ac:dyDescent="0.25"/>
    <row r="34" spans="2:13" s="8" customFormat="1" x14ac:dyDescent="0.25"/>
    <row r="35" spans="2:13" ht="120" x14ac:dyDescent="0.25">
      <c r="B35" s="14" t="s">
        <v>97</v>
      </c>
      <c r="C35" s="2" t="s">
        <v>127</v>
      </c>
      <c r="D35" s="14" t="s">
        <v>128</v>
      </c>
      <c r="E35" s="14" t="s">
        <v>123</v>
      </c>
      <c r="F35" s="14" t="s">
        <v>124</v>
      </c>
      <c r="G35" s="14" t="s">
        <v>125</v>
      </c>
      <c r="H35" s="14" t="s">
        <v>104</v>
      </c>
      <c r="I35" s="14" t="s">
        <v>126</v>
      </c>
      <c r="J35" s="14" t="s">
        <v>108</v>
      </c>
      <c r="K35" s="14" t="s">
        <v>109</v>
      </c>
      <c r="L35" s="14" t="s">
        <v>110</v>
      </c>
    </row>
    <row r="36" spans="2:13" x14ac:dyDescent="0.25">
      <c r="B36" s="2">
        <f>B16</f>
        <v>1</v>
      </c>
      <c r="C36" s="2">
        <f>_xlfn.CEILING.MATH(B16/Sheet1!$M$9)</f>
        <v>1</v>
      </c>
      <c r="D36" s="2">
        <f t="shared" ref="D36:E42" si="13">C16</f>
        <v>1</v>
      </c>
      <c r="E36" s="15">
        <f t="shared" si="13"/>
        <v>15259.87</v>
      </c>
      <c r="F36" s="15">
        <f>F16+G16</f>
        <v>2749.2435999999998</v>
      </c>
      <c r="G36" s="15">
        <f t="shared" ref="G36:H42" si="14">I16</f>
        <v>526450</v>
      </c>
      <c r="H36" s="15">
        <f t="shared" si="14"/>
        <v>8649.5428799999991</v>
      </c>
      <c r="I36" s="15">
        <f>L16+M16</f>
        <v>2191.1357600000001</v>
      </c>
      <c r="J36" s="15">
        <f>N16</f>
        <v>555299.79223999998</v>
      </c>
      <c r="K36" s="15">
        <f>O16</f>
        <v>12.671134361080687</v>
      </c>
      <c r="L36" s="16">
        <f>P16</f>
        <v>1.3199098292792383E-2</v>
      </c>
      <c r="M36" s="16">
        <f>Q16</f>
        <v>3.9597294878377147E-2</v>
      </c>
    </row>
    <row r="37" spans="2:13" x14ac:dyDescent="0.25">
      <c r="B37" s="14">
        <f t="shared" ref="B37:B49" si="15">B17</f>
        <v>10</v>
      </c>
      <c r="C37" s="14">
        <f>_xlfn.CEILING.MATH(B17/Sheet1!$M$9)</f>
        <v>1</v>
      </c>
      <c r="D37" s="14">
        <f t="shared" si="13"/>
        <v>1</v>
      </c>
      <c r="E37" s="15">
        <f t="shared" si="13"/>
        <v>15259.87</v>
      </c>
      <c r="F37" s="15">
        <f t="shared" ref="F37:F42" si="16">F17+G17</f>
        <v>2749.2435999999998</v>
      </c>
      <c r="G37" s="15">
        <f t="shared" si="14"/>
        <v>526450</v>
      </c>
      <c r="H37" s="15">
        <f t="shared" si="14"/>
        <v>8649.5428799999991</v>
      </c>
      <c r="I37" s="15">
        <f t="shared" ref="I37:I42" si="17">L17+M17</f>
        <v>2191.1357600000001</v>
      </c>
      <c r="J37" s="15">
        <f t="shared" ref="J37:J42" si="18">N17</f>
        <v>555299.79223999998</v>
      </c>
      <c r="K37" s="15">
        <f t="shared" ref="K37:K42" si="19">O17</f>
        <v>12.671134361080687</v>
      </c>
      <c r="L37" s="16">
        <f t="shared" ref="L37:M42" si="20">P17</f>
        <v>1.3199098292792383E-2</v>
      </c>
      <c r="M37" s="16">
        <f t="shared" si="20"/>
        <v>3.9597294878377147E-2</v>
      </c>
    </row>
    <row r="38" spans="2:13" x14ac:dyDescent="0.25">
      <c r="B38" s="14">
        <f t="shared" si="15"/>
        <v>100</v>
      </c>
      <c r="C38" s="14">
        <f>_xlfn.CEILING.MATH(B18/Sheet1!$M$9)</f>
        <v>1</v>
      </c>
      <c r="D38" s="14">
        <f t="shared" si="13"/>
        <v>1</v>
      </c>
      <c r="E38" s="15">
        <f t="shared" si="13"/>
        <v>15259.87</v>
      </c>
      <c r="F38" s="15">
        <f t="shared" si="16"/>
        <v>2749.2435999999998</v>
      </c>
      <c r="G38" s="15">
        <f t="shared" si="14"/>
        <v>526450</v>
      </c>
      <c r="H38" s="15">
        <f t="shared" si="14"/>
        <v>8649.5428799999991</v>
      </c>
      <c r="I38" s="15">
        <f t="shared" si="17"/>
        <v>2191.1357600000001</v>
      </c>
      <c r="J38" s="15">
        <f t="shared" si="18"/>
        <v>555299.79223999998</v>
      </c>
      <c r="K38" s="15">
        <f t="shared" si="19"/>
        <v>12.671134361080687</v>
      </c>
      <c r="L38" s="16">
        <f t="shared" si="20"/>
        <v>1.3199098292792383E-2</v>
      </c>
      <c r="M38" s="16">
        <f t="shared" si="20"/>
        <v>3.9597294878377147E-2</v>
      </c>
    </row>
    <row r="39" spans="2:13" x14ac:dyDescent="0.25">
      <c r="B39" s="14">
        <f t="shared" si="15"/>
        <v>1000</v>
      </c>
      <c r="C39" s="14">
        <f>_xlfn.CEILING.MATH(B19/Sheet1!$M$9)</f>
        <v>4</v>
      </c>
      <c r="D39" s="14">
        <f t="shared" si="13"/>
        <v>2</v>
      </c>
      <c r="E39" s="15">
        <f t="shared" si="13"/>
        <v>30519.74</v>
      </c>
      <c r="F39" s="15">
        <f t="shared" si="16"/>
        <v>2749.2435999999998</v>
      </c>
      <c r="G39" s="15">
        <f t="shared" si="14"/>
        <v>526450</v>
      </c>
      <c r="H39" s="15">
        <f t="shared" si="14"/>
        <v>17299.085759999998</v>
      </c>
      <c r="I39" s="15">
        <f t="shared" si="17"/>
        <v>2191.1357600000001</v>
      </c>
      <c r="J39" s="15">
        <f t="shared" si="18"/>
        <v>579209.20512000006</v>
      </c>
      <c r="K39" s="15">
        <f t="shared" si="19"/>
        <v>13.216712420591458</v>
      </c>
      <c r="L39" s="16">
        <f t="shared" si="20"/>
        <v>6.8837043857247178E-3</v>
      </c>
      <c r="M39" s="16">
        <f t="shared" si="20"/>
        <v>1.0325556578587077E-2</v>
      </c>
    </row>
    <row r="40" spans="2:13" x14ac:dyDescent="0.25">
      <c r="B40" s="14">
        <f t="shared" si="15"/>
        <v>10000</v>
      </c>
      <c r="C40" s="14">
        <f>_xlfn.CEILING.MATH(B20/Sheet1!$M$9)</f>
        <v>32</v>
      </c>
      <c r="D40" s="14">
        <f t="shared" si="13"/>
        <v>11</v>
      </c>
      <c r="E40" s="15">
        <f t="shared" si="13"/>
        <v>167858.57</v>
      </c>
      <c r="F40" s="15">
        <f t="shared" si="16"/>
        <v>3084.4971999999998</v>
      </c>
      <c r="G40" s="15">
        <f t="shared" si="14"/>
        <v>526450</v>
      </c>
      <c r="H40" s="15">
        <f t="shared" si="14"/>
        <v>95144.971679999988</v>
      </c>
      <c r="I40" s="15">
        <f t="shared" si="17"/>
        <v>2191.1357600000001</v>
      </c>
      <c r="J40" s="15">
        <f t="shared" si="18"/>
        <v>794729.17463999987</v>
      </c>
      <c r="K40" s="15">
        <f t="shared" si="19"/>
        <v>18.134564956188388</v>
      </c>
      <c r="L40" s="16">
        <f t="shared" si="20"/>
        <v>1.7172883481239003E-3</v>
      </c>
      <c r="M40" s="16">
        <f t="shared" si="20"/>
        <v>1.7709536090027723E-3</v>
      </c>
    </row>
    <row r="41" spans="2:13" x14ac:dyDescent="0.25">
      <c r="B41" s="14">
        <f t="shared" si="15"/>
        <v>100000</v>
      </c>
      <c r="C41" s="14">
        <f>_xlfn.CEILING.MATH(B21/Sheet1!$M$9)</f>
        <v>313</v>
      </c>
      <c r="D41" s="14">
        <f t="shared" si="13"/>
        <v>105</v>
      </c>
      <c r="E41" s="15">
        <f t="shared" si="13"/>
        <v>1602286.35</v>
      </c>
      <c r="F41" s="15">
        <f t="shared" si="16"/>
        <v>7107.5403999999999</v>
      </c>
      <c r="G41" s="15">
        <f t="shared" si="14"/>
        <v>526450</v>
      </c>
      <c r="H41" s="15">
        <f t="shared" si="14"/>
        <v>908202.00239999988</v>
      </c>
      <c r="I41" s="15">
        <f t="shared" si="17"/>
        <v>6573.4072800000004</v>
      </c>
      <c r="J41" s="15">
        <f t="shared" si="18"/>
        <v>3050619.3000799995</v>
      </c>
      <c r="K41" s="15">
        <f t="shared" si="19"/>
        <v>69.610699618473888</v>
      </c>
      <c r="L41" s="16">
        <f t="shared" si="20"/>
        <v>6.9058233748485996E-4</v>
      </c>
      <c r="M41" s="16">
        <f t="shared" si="20"/>
        <v>6.9499500417805396E-4</v>
      </c>
    </row>
    <row r="42" spans="2:13" x14ac:dyDescent="0.25">
      <c r="B42" s="14">
        <f t="shared" si="15"/>
        <v>1000000</v>
      </c>
      <c r="C42" s="14">
        <f>_xlfn.CEILING.MATH(B22/Sheet1!$M$9)</f>
        <v>3125</v>
      </c>
      <c r="D42" s="14">
        <f t="shared" si="13"/>
        <v>1042</v>
      </c>
      <c r="E42" s="15">
        <f t="shared" si="13"/>
        <v>15900784.540000001</v>
      </c>
      <c r="F42" s="15">
        <f t="shared" si="16"/>
        <v>114388.69240000001</v>
      </c>
      <c r="G42" s="15">
        <f t="shared" si="14"/>
        <v>1052900</v>
      </c>
      <c r="H42" s="15">
        <f t="shared" si="14"/>
        <v>9012823.6809599996</v>
      </c>
      <c r="I42" s="15">
        <f t="shared" si="17"/>
        <v>54778.394</v>
      </c>
      <c r="J42" s="15">
        <f t="shared" si="18"/>
        <v>26135675.307360001</v>
      </c>
      <c r="K42" s="15">
        <f t="shared" si="19"/>
        <v>596.37813315443589</v>
      </c>
      <c r="L42" s="16">
        <f t="shared" si="20"/>
        <v>5.9618735320141145E-4</v>
      </c>
      <c r="M42" s="16">
        <f t="shared" si="20"/>
        <v>5.9637813315443588E-4</v>
      </c>
    </row>
    <row r="43" spans="2:13" x14ac:dyDescent="0.25">
      <c r="B43" s="18">
        <f t="shared" si="15"/>
        <v>625</v>
      </c>
      <c r="C43" s="18">
        <f>_xlfn.CEILING.MATH(B23/Sheet1!$M$9)</f>
        <v>2</v>
      </c>
      <c r="D43" s="18">
        <f t="shared" ref="D43:D49" si="21">C23</f>
        <v>1</v>
      </c>
      <c r="E43" s="15">
        <f t="shared" ref="E43:E49" si="22">D23</f>
        <v>15259.87</v>
      </c>
      <c r="F43" s="15">
        <f t="shared" ref="F43:F49" si="23">F23+G23</f>
        <v>2749.2435999999998</v>
      </c>
      <c r="G43" s="15">
        <f t="shared" ref="G43:G49" si="24">I23</f>
        <v>526450</v>
      </c>
      <c r="H43" s="15">
        <f t="shared" ref="H43:H49" si="25">J23</f>
        <v>8649.5428799999991</v>
      </c>
      <c r="I43" s="15">
        <f t="shared" ref="I43:I49" si="26">L23+M23</f>
        <v>2191.1357600000001</v>
      </c>
      <c r="J43" s="15">
        <f t="shared" ref="J43:J49" si="27">N23</f>
        <v>555299.79223999998</v>
      </c>
      <c r="K43" s="15">
        <f t="shared" ref="K43:K49" si="28">O23</f>
        <v>12.671134361080687</v>
      </c>
      <c r="L43" s="16">
        <f t="shared" ref="L43:L49" si="29">P23</f>
        <v>1.3199098292792383E-2</v>
      </c>
      <c r="M43" s="16">
        <f t="shared" ref="M43:M49" si="30">Q23</f>
        <v>1.9798647439188573E-2</v>
      </c>
    </row>
    <row r="44" spans="2:13" x14ac:dyDescent="0.25">
      <c r="B44" s="18">
        <f t="shared" si="15"/>
        <v>1375</v>
      </c>
      <c r="C44" s="18">
        <f>_xlfn.CEILING.MATH(B24/Sheet1!$M$9)</f>
        <v>5</v>
      </c>
      <c r="D44" s="18">
        <f t="shared" si="21"/>
        <v>2</v>
      </c>
      <c r="E44" s="15">
        <f t="shared" si="22"/>
        <v>30519.74</v>
      </c>
      <c r="F44" s="15">
        <f t="shared" si="23"/>
        <v>2749.2435999999998</v>
      </c>
      <c r="G44" s="15">
        <f t="shared" si="24"/>
        <v>526450</v>
      </c>
      <c r="H44" s="15">
        <f t="shared" si="25"/>
        <v>17299.085759999998</v>
      </c>
      <c r="I44" s="15">
        <f t="shared" si="26"/>
        <v>2191.1357600000001</v>
      </c>
      <c r="J44" s="15">
        <f t="shared" si="27"/>
        <v>579209.20512000006</v>
      </c>
      <c r="K44" s="15">
        <f t="shared" si="28"/>
        <v>13.216712420591458</v>
      </c>
      <c r="L44" s="16">
        <f t="shared" si="29"/>
        <v>6.8837043857247178E-3</v>
      </c>
      <c r="M44" s="16">
        <f t="shared" si="30"/>
        <v>8.2604452628696617E-3</v>
      </c>
    </row>
    <row r="45" spans="2:13" x14ac:dyDescent="0.25">
      <c r="B45" s="18">
        <f t="shared" si="15"/>
        <v>1600</v>
      </c>
      <c r="C45" s="18">
        <f>_xlfn.CEILING.MATH(B25/Sheet1!$M$9)</f>
        <v>5</v>
      </c>
      <c r="D45" s="18">
        <f t="shared" si="21"/>
        <v>2</v>
      </c>
      <c r="E45" s="15">
        <f t="shared" si="22"/>
        <v>30519.74</v>
      </c>
      <c r="F45" s="15">
        <f t="shared" si="23"/>
        <v>2749.2435999999998</v>
      </c>
      <c r="G45" s="15">
        <f t="shared" si="24"/>
        <v>526450</v>
      </c>
      <c r="H45" s="15">
        <f t="shared" si="25"/>
        <v>17299.085759999998</v>
      </c>
      <c r="I45" s="15">
        <f t="shared" si="26"/>
        <v>2191.1357600000001</v>
      </c>
      <c r="J45" s="15">
        <f t="shared" si="27"/>
        <v>579209.20512000006</v>
      </c>
      <c r="K45" s="15">
        <f t="shared" si="28"/>
        <v>13.216712420591458</v>
      </c>
      <c r="L45" s="16">
        <f t="shared" si="29"/>
        <v>6.8837043857247178E-3</v>
      </c>
      <c r="M45" s="16">
        <f t="shared" si="30"/>
        <v>8.2604452628696617E-3</v>
      </c>
    </row>
    <row r="46" spans="2:13" x14ac:dyDescent="0.25">
      <c r="B46" s="18">
        <f t="shared" si="15"/>
        <v>1900</v>
      </c>
      <c r="C46" s="18">
        <f>_xlfn.CEILING.MATH(B26/Sheet1!$M$9)</f>
        <v>6</v>
      </c>
      <c r="D46" s="18">
        <f t="shared" si="21"/>
        <v>2</v>
      </c>
      <c r="E46" s="15">
        <f t="shared" si="22"/>
        <v>30519.74</v>
      </c>
      <c r="F46" s="15">
        <f t="shared" si="23"/>
        <v>2749.2435999999998</v>
      </c>
      <c r="G46" s="15">
        <f t="shared" si="24"/>
        <v>526450</v>
      </c>
      <c r="H46" s="15">
        <f t="shared" si="25"/>
        <v>17299.085759999998</v>
      </c>
      <c r="I46" s="15">
        <f t="shared" si="26"/>
        <v>2191.1357600000001</v>
      </c>
      <c r="J46" s="15">
        <f t="shared" si="27"/>
        <v>579209.20512000006</v>
      </c>
      <c r="K46" s="15">
        <f t="shared" si="28"/>
        <v>13.216712420591458</v>
      </c>
      <c r="L46" s="16">
        <f t="shared" si="29"/>
        <v>6.8837043857247178E-3</v>
      </c>
      <c r="M46" s="16">
        <f t="shared" si="30"/>
        <v>6.8837043857247178E-3</v>
      </c>
    </row>
    <row r="47" spans="2:13" x14ac:dyDescent="0.25">
      <c r="B47" s="18">
        <f t="shared" si="15"/>
        <v>2865</v>
      </c>
      <c r="C47" s="18">
        <f>_xlfn.CEILING.MATH(B27/Sheet1!$M$9)</f>
        <v>9</v>
      </c>
      <c r="D47" s="18">
        <f t="shared" si="21"/>
        <v>3</v>
      </c>
      <c r="E47" s="15">
        <f t="shared" si="22"/>
        <v>45779.61</v>
      </c>
      <c r="F47" s="15">
        <f t="shared" si="23"/>
        <v>2749.2435999999998</v>
      </c>
      <c r="G47" s="15">
        <f t="shared" si="24"/>
        <v>526450</v>
      </c>
      <c r="H47" s="15">
        <f t="shared" si="25"/>
        <v>25948.628639999995</v>
      </c>
      <c r="I47" s="15">
        <f t="shared" si="26"/>
        <v>2191.1357600000001</v>
      </c>
      <c r="J47" s="15">
        <f t="shared" si="27"/>
        <v>603118.61800000002</v>
      </c>
      <c r="K47" s="15">
        <f t="shared" si="28"/>
        <v>13.762290480102228</v>
      </c>
      <c r="L47" s="16">
        <f t="shared" si="29"/>
        <v>4.7785730833688296E-3</v>
      </c>
      <c r="M47" s="16">
        <f t="shared" si="30"/>
        <v>4.7785730833688296E-3</v>
      </c>
    </row>
    <row r="48" spans="2:13" x14ac:dyDescent="0.25">
      <c r="B48" s="18">
        <f t="shared" si="15"/>
        <v>3840</v>
      </c>
      <c r="C48" s="18">
        <f>_xlfn.CEILING.MATH(B28/Sheet1!$M$9)</f>
        <v>12</v>
      </c>
      <c r="D48" s="18">
        <f t="shared" si="21"/>
        <v>4</v>
      </c>
      <c r="E48" s="15">
        <f t="shared" si="22"/>
        <v>61039.48</v>
      </c>
      <c r="F48" s="15">
        <f t="shared" si="23"/>
        <v>2749.2435999999998</v>
      </c>
      <c r="G48" s="15">
        <f t="shared" si="24"/>
        <v>526450</v>
      </c>
      <c r="H48" s="15">
        <f t="shared" si="25"/>
        <v>34598.171519999996</v>
      </c>
      <c r="I48" s="15">
        <f t="shared" si="26"/>
        <v>2191.1357600000001</v>
      </c>
      <c r="J48" s="15">
        <f t="shared" si="27"/>
        <v>627028.03087999998</v>
      </c>
      <c r="K48" s="15">
        <f t="shared" si="28"/>
        <v>14.307868539612997</v>
      </c>
      <c r="L48" s="16">
        <f t="shared" si="29"/>
        <v>3.7260074321908846E-3</v>
      </c>
      <c r="M48" s="16">
        <f t="shared" si="30"/>
        <v>3.7260074321908846E-3</v>
      </c>
    </row>
    <row r="49" spans="2:13" x14ac:dyDescent="0.25">
      <c r="B49" s="18">
        <f t="shared" si="15"/>
        <v>55675</v>
      </c>
      <c r="C49" s="18">
        <f>_xlfn.CEILING.MATH(B29/Sheet1!$M$9)</f>
        <v>174</v>
      </c>
      <c r="D49" s="18">
        <f t="shared" si="21"/>
        <v>58</v>
      </c>
      <c r="E49" s="15">
        <f t="shared" si="22"/>
        <v>885072.46000000008</v>
      </c>
      <c r="F49" s="15">
        <f t="shared" si="23"/>
        <v>4760.7651999999998</v>
      </c>
      <c r="G49" s="15">
        <f t="shared" si="24"/>
        <v>526450</v>
      </c>
      <c r="H49" s="15">
        <f t="shared" si="25"/>
        <v>501673.48703999992</v>
      </c>
      <c r="I49" s="15">
        <f t="shared" si="26"/>
        <v>4382.2715200000002</v>
      </c>
      <c r="J49" s="15">
        <f t="shared" si="27"/>
        <v>1922338.9837600002</v>
      </c>
      <c r="K49" s="15">
        <f t="shared" si="28"/>
        <v>43.864982287331145</v>
      </c>
      <c r="L49" s="16">
        <f t="shared" si="29"/>
        <v>7.8780499797649324E-4</v>
      </c>
      <c r="M49" s="16">
        <f t="shared" si="30"/>
        <v>7.8780499797649324E-4</v>
      </c>
    </row>
  </sheetData>
  <mergeCells count="2">
    <mergeCell ref="E14:F14"/>
    <mergeCell ref="K14:L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R48"/>
  <sheetViews>
    <sheetView topLeftCell="B22" zoomScale="70" zoomScaleNormal="70" workbookViewId="0">
      <selection activeCell="B24" sqref="B24"/>
    </sheetView>
  </sheetViews>
  <sheetFormatPr defaultRowHeight="15" x14ac:dyDescent="0.25"/>
  <cols>
    <col min="1" max="1" width="9.140625" style="2"/>
    <col min="2" max="2" width="18" style="2" customWidth="1"/>
    <col min="3" max="3" width="29.7109375" style="2" customWidth="1"/>
    <col min="4" max="4" width="14.85546875" style="2" customWidth="1"/>
    <col min="5" max="5" width="27.28515625" style="2" customWidth="1"/>
    <col min="6" max="6" width="15.5703125" style="2" customWidth="1"/>
    <col min="7" max="8" width="15.42578125" style="2" bestFit="1" customWidth="1"/>
    <col min="9" max="9" width="12.85546875" style="2" bestFit="1" customWidth="1"/>
    <col min="10" max="10" width="17.85546875" style="2" bestFit="1" customWidth="1"/>
    <col min="11" max="11" width="9.28515625" style="2" bestFit="1" customWidth="1"/>
    <col min="12" max="12" width="13.5703125" style="2" bestFit="1" customWidth="1"/>
    <col min="13" max="13" width="13" style="2" bestFit="1" customWidth="1"/>
    <col min="14" max="14" width="9.140625" style="2"/>
    <col min="15" max="17" width="11.5703125" style="2" bestFit="1" customWidth="1"/>
    <col min="18" max="16384" width="9.140625" style="2"/>
  </cols>
  <sheetData>
    <row r="1" spans="2:17" ht="45" x14ac:dyDescent="0.25">
      <c r="B1" s="2" t="s">
        <v>28</v>
      </c>
    </row>
    <row r="3" spans="2:17" ht="30" x14ac:dyDescent="0.25">
      <c r="B3" s="2" t="s">
        <v>27</v>
      </c>
      <c r="C3" s="2" t="s">
        <v>33</v>
      </c>
      <c r="D3" s="2" t="s">
        <v>30</v>
      </c>
      <c r="E3" s="2" t="s">
        <v>31</v>
      </c>
      <c r="F3" s="2" t="s">
        <v>32</v>
      </c>
      <c r="G3" s="3" t="s">
        <v>89</v>
      </c>
    </row>
    <row r="4" spans="2:17" ht="30" x14ac:dyDescent="0.25">
      <c r="B4" s="2" t="s">
        <v>40</v>
      </c>
      <c r="C4" s="2" t="str">
        <f>PrCloudQty!I2</f>
        <v>NORCO RPC-170 Black 1U Rackmount Server Chassis</v>
      </c>
      <c r="D4" s="2">
        <v>1</v>
      </c>
      <c r="E4" s="8">
        <f>_xlfn.IFNA(VLOOKUP(TEXT(C4,"text"),Prices!$B$2:$C$300,2,FALSE),0)</f>
        <v>96.84</v>
      </c>
      <c r="F4" s="2">
        <f t="shared" ref="F4:F9" si="0">_xlfn.IFNA(D4*E4,0)</f>
        <v>96.84</v>
      </c>
      <c r="G4" s="3">
        <f>_xlfn.IFNA(VLOOKUP(TEXT(C4,"text"),Prices!$B$2:$D$300,3,FALSE)*D4,0)</f>
        <v>10</v>
      </c>
    </row>
    <row r="5" spans="2:17" ht="60" x14ac:dyDescent="0.25">
      <c r="B5" s="2" t="s">
        <v>26</v>
      </c>
      <c r="C5" s="2" t="str">
        <f>PrCloudDet!I2</f>
        <v>Intel Xeon E5-2640 V4 2.4 GHz 25MB L3 Cache LGA 2011 90W BX80660E52640V4 Server Processor</v>
      </c>
      <c r="D5" s="2">
        <f>PrCloudQty!I4</f>
        <v>2</v>
      </c>
      <c r="E5" s="8">
        <f>_xlfn.IFNA(VLOOKUP(TEXT(C5,"text"),Prices!$B$2:$C$300,2,FALSE),0)</f>
        <v>989.99</v>
      </c>
      <c r="F5" s="3">
        <f t="shared" si="0"/>
        <v>1979.98</v>
      </c>
      <c r="G5" s="3">
        <f>_xlfn.IFNA(VLOOKUP(TEXT(C5,"text"),Prices!$B$2:$D$300,3,FALSE)*D5,0)</f>
        <v>180</v>
      </c>
    </row>
    <row r="6" spans="2:17" ht="75" x14ac:dyDescent="0.25">
      <c r="B6" s="2" t="s">
        <v>29</v>
      </c>
      <c r="C6" s="2" t="str">
        <f>PrCloudQty!I5</f>
        <v>Kingston 64GB (4 x 16GB) 288-Pin DDR4 SDRAM ECC Registered DDR4 2133 (PC4 17000) Server Memory Model KVR21R15D4K4/64</v>
      </c>
      <c r="D6" s="2">
        <f>PrCloudQty!I6</f>
        <v>4</v>
      </c>
      <c r="E6" s="8">
        <f>_xlfn.IFNA(VLOOKUP(TEXT(C6,"text"),Prices!$B$2:$C$300,2,FALSE),0)</f>
        <v>365.99</v>
      </c>
      <c r="F6" s="3">
        <f t="shared" si="0"/>
        <v>1463.96</v>
      </c>
      <c r="G6" s="3">
        <f>_xlfn.IFNA(VLOOKUP(TEXT(C6,"text"),Prices!$B$2:$D$300,3,FALSE)*D6,0)</f>
        <v>80</v>
      </c>
    </row>
    <row r="7" spans="2:17" ht="45" x14ac:dyDescent="0.25">
      <c r="B7" s="2" t="s">
        <v>37</v>
      </c>
      <c r="C7" s="2" t="str">
        <f>PrCloudQty!I7</f>
        <v>GIGABYTE MD80-TM0 E-ATX / SSI EEB Server Motherboard Dual LGA 2011-3 Intel C612</v>
      </c>
      <c r="D7" s="2">
        <v>1</v>
      </c>
      <c r="E7" s="8">
        <f>_xlfn.IFNA(VLOOKUP(TEXT(C7,"text"),Prices!$B$2:$C$300,2,FALSE),0)</f>
        <v>659.99</v>
      </c>
      <c r="F7" s="3">
        <f t="shared" si="0"/>
        <v>659.99</v>
      </c>
      <c r="G7" s="3">
        <f>_xlfn.IFNA(VLOOKUP(TEXT(C7,"text"),Prices!$B$2:$D$300,3,FALSE)*D7,0)</f>
        <v>25</v>
      </c>
    </row>
    <row r="8" spans="2:17" ht="60" x14ac:dyDescent="0.25">
      <c r="B8" s="2" t="s">
        <v>34</v>
      </c>
      <c r="C8" s="2" t="str">
        <f>PrCloudQty!I8</f>
        <v>Seagate Archive HDD v2 ST8000AS0002 8TB 128MB Cache SATA 6.0Gb/s 3.5" Internal Hard Drive Bare Drive</v>
      </c>
      <c r="D8" s="2">
        <f>PrCloudQty!I9</f>
        <v>6</v>
      </c>
      <c r="E8" s="8">
        <f>_xlfn.IFNA(VLOOKUP(TEXT(C8,"text"),Prices!$B$2:$C$300,2,FALSE),0)</f>
        <v>219.99</v>
      </c>
      <c r="F8" s="3">
        <f t="shared" si="0"/>
        <v>1319.94</v>
      </c>
      <c r="G8" s="3">
        <f>_xlfn.IFNA(VLOOKUP(TEXT(C8,"text"),Prices!$B$2:$D$300,3,FALSE)*D8,0)</f>
        <v>210</v>
      </c>
    </row>
    <row r="9" spans="2:17" x14ac:dyDescent="0.25">
      <c r="B9" s="2" t="s">
        <v>35</v>
      </c>
      <c r="E9" s="8">
        <f>_xlfn.IFNA(VLOOKUP(TEXT(C9,"text"),Prices!$B$2:$C$300,2,FALSE),0)</f>
        <v>0</v>
      </c>
      <c r="F9" s="3">
        <f t="shared" si="0"/>
        <v>0</v>
      </c>
      <c r="G9" s="3">
        <f>_xlfn.IFNA(VLOOKUP(TEXT(C9,"text"),Prices!$B$2:$D$300,3,FALSE)*D9,0)</f>
        <v>0</v>
      </c>
    </row>
    <row r="10" spans="2:17" s="7" customFormat="1" x14ac:dyDescent="0.25"/>
    <row r="11" spans="2:17" s="8" customFormat="1" x14ac:dyDescent="0.25">
      <c r="F11" s="8">
        <f>SUM(F4:F10)</f>
        <v>5520.7100000000009</v>
      </c>
      <c r="G11" s="8">
        <f>SUM(G4:G10)</f>
        <v>505</v>
      </c>
    </row>
    <row r="12" spans="2:17" s="8" customFormat="1" x14ac:dyDescent="0.25"/>
    <row r="13" spans="2:17" s="10" customFormat="1" x14ac:dyDescent="0.25"/>
    <row r="14" spans="2:17" s="10" customFormat="1" ht="33.75" customHeight="1" x14ac:dyDescent="0.25">
      <c r="E14" s="19" t="str">
        <f>PrCloudQty!B19</f>
        <v>NETGEAR ProSAFE XS728T 28-Port 10-Gigabit Ethernet Smart Managed Switch (XS728T) - Lifetime Warranty</v>
      </c>
      <c r="F14" s="19"/>
      <c r="G14" s="10" t="s">
        <v>105</v>
      </c>
      <c r="I14" s="10" t="s">
        <v>39</v>
      </c>
      <c r="J14" s="10" t="s">
        <v>105</v>
      </c>
      <c r="K14" s="19" t="str">
        <f>PrCloudQty!B15</f>
        <v>APC AR3300 42U NetShelter SX 600mm Wide x 1200mm Deep Enclosure</v>
      </c>
      <c r="L14" s="19"/>
      <c r="M14" s="10" t="s">
        <v>105</v>
      </c>
    </row>
    <row r="15" spans="2:17" s="10" customFormat="1" ht="45" x14ac:dyDescent="0.25">
      <c r="B15" s="10" t="s">
        <v>97</v>
      </c>
      <c r="C15" s="10" t="s">
        <v>98</v>
      </c>
      <c r="D15" s="10" t="s">
        <v>99</v>
      </c>
      <c r="E15" s="10" t="s">
        <v>102</v>
      </c>
      <c r="F15" s="10" t="s">
        <v>100</v>
      </c>
      <c r="G15" s="10" t="s">
        <v>103</v>
      </c>
      <c r="H15" s="10" t="s">
        <v>122</v>
      </c>
      <c r="I15" s="10" t="s">
        <v>101</v>
      </c>
      <c r="J15" s="10" t="s">
        <v>104</v>
      </c>
      <c r="K15" s="10" t="s">
        <v>79</v>
      </c>
      <c r="L15" s="10" t="s">
        <v>106</v>
      </c>
      <c r="M15" s="10" t="s">
        <v>107</v>
      </c>
      <c r="N15" s="10" t="s">
        <v>108</v>
      </c>
      <c r="O15" s="10" t="s">
        <v>109</v>
      </c>
      <c r="P15" s="10" t="s">
        <v>110</v>
      </c>
    </row>
    <row r="16" spans="2:17" s="10" customFormat="1" x14ac:dyDescent="0.25">
      <c r="B16" s="10">
        <v>1</v>
      </c>
      <c r="C16" s="14">
        <f>_xlfn.CEILING.MATH(_xlfn.CEILING.MATH(B16/Sheet1!$M$10)/PrCloudDet!$I$12)</f>
        <v>1</v>
      </c>
      <c r="D16" s="10">
        <f>$F$11*C16</f>
        <v>5520.7100000000009</v>
      </c>
      <c r="E16" s="12">
        <f t="shared" ref="E16:E22" si="1">_xlfn.CEILING.MATH((C16+(IF(_xlfn.CEILING.MATH(C16/28)&lt;=1,_xlfn.CEILING.MATH(C16/28),((_xlfn.CEILING.MATH(C16/28))*(_xlfn.CEILING.MATH(C16/28)-1))/2)))/28)</f>
        <v>1</v>
      </c>
      <c r="F16" s="10">
        <f>_xlfn.IFNA(VLOOKUP($E$14,Prices!$B$2:$D$50,2,FALSE),0)*E16</f>
        <v>2413.9899999999998</v>
      </c>
      <c r="G16" s="10">
        <f>(((_xlfn.IFNA(VLOOKUP($E$14,Prices!$B$2:$D$50,3,FALSE),0)*E16)*24*1826)/1000)*(_xlfn.IFNA(VLOOKUP($G$14,Prices!$B$2:$D$50,2,FALSE),0))*2</f>
        <v>335.25359999999995</v>
      </c>
      <c r="H16" s="10">
        <f>_xlfn.CEILING.MATH(C16/1000)</f>
        <v>1</v>
      </c>
      <c r="I16" s="10">
        <f>_xlfn.IFNA(VLOOKUP($I$14,Prices!$B$2:$D$50,2,FALSE),0)*H16</f>
        <v>526450</v>
      </c>
      <c r="J16" s="10">
        <f>(($G$11*24*1826)/1000)*(_xlfn.IFNA(VLOOKUP($J$14,Prices!$B$2:$D$50,2,FALSE),0))*C16*2</f>
        <v>6772.1227199999994</v>
      </c>
      <c r="K16" s="10">
        <f t="shared" ref="K16:K22" si="2">_xlfn.CEILING.MATH(C16/42)</f>
        <v>1</v>
      </c>
      <c r="L16" s="10">
        <f>_xlfn.IFNA(VLOOKUP($K$14,Prices!$B$2:$D$50,2,FALSE),0)*K16</f>
        <v>1654.73</v>
      </c>
      <c r="M16" s="10">
        <f>(((_xlfn.IFNA(VLOOKUP($K$14,Prices!$B$2:$D$50,3,FALSE),0)*K16)*24*1826)/1000)*(_xlfn.IFNA(VLOOKUP($M$14,Prices!$B$2:$D$50,2,FALSE),0))*2</f>
        <v>536.40575999999999</v>
      </c>
      <c r="N16" s="10">
        <f t="shared" ref="N16:N22" si="3">D16+F16+G16+I16+J16+L16+M16</f>
        <v>543683.21207999997</v>
      </c>
      <c r="O16" s="10">
        <f>N16/1826/24</f>
        <v>12.406060881708653</v>
      </c>
      <c r="P16" s="10">
        <f>O16/(C16*PrCloudDet!$I$11)</f>
        <v>1.6153725106391476E-2</v>
      </c>
      <c r="Q16" s="18">
        <f>O16/(Sheet1!$M$10*C36)</f>
        <v>1.7948583451546086E-2</v>
      </c>
    </row>
    <row r="17" spans="2:18" s="10" customFormat="1" x14ac:dyDescent="0.25">
      <c r="B17" s="10">
        <v>10</v>
      </c>
      <c r="C17" s="14">
        <f>_xlfn.CEILING.MATH(_xlfn.CEILING.MATH(B17/Sheet1!$M$10)/PrCloudDet!$I$12)</f>
        <v>1</v>
      </c>
      <c r="D17" s="10">
        <f t="shared" ref="D17:D22" si="4">$F$11*C17</f>
        <v>5520.7100000000009</v>
      </c>
      <c r="E17" s="12">
        <f t="shared" si="1"/>
        <v>1</v>
      </c>
      <c r="F17" s="10">
        <f>_xlfn.IFNA(VLOOKUP($E$14,Prices!$B$2:$D$50,2,FALSE),0)</f>
        <v>2413.9899999999998</v>
      </c>
      <c r="G17" s="10">
        <f>(((_xlfn.IFNA(VLOOKUP($E$14,Prices!$B$2:$D$50,3,FALSE),0)*E17)*24*1826)/1000)*(_xlfn.IFNA(VLOOKUP($G$14,Prices!$B$2:$D$50,2,FALSE),0))*2</f>
        <v>335.25359999999995</v>
      </c>
      <c r="H17" s="10">
        <f t="shared" ref="H17:H22" si="5">_xlfn.CEILING.MATH(C17/1000)</f>
        <v>1</v>
      </c>
      <c r="I17" s="10">
        <f>_xlfn.IFNA(VLOOKUP($I$14,Prices!$B$2:$D$50,2,FALSE),0)*H17</f>
        <v>526450</v>
      </c>
      <c r="J17" s="10">
        <f>(($G$11*24*1826)/1000)*(_xlfn.IFNA(VLOOKUP($J$14,Prices!$B$2:$D$50,2,FALSE),0))*C17*2</f>
        <v>6772.1227199999994</v>
      </c>
      <c r="K17" s="10">
        <f t="shared" si="2"/>
        <v>1</v>
      </c>
      <c r="L17" s="10">
        <f>_xlfn.IFNA(VLOOKUP($K$14,Prices!$B$2:$D$50,2,FALSE),0)*K17</f>
        <v>1654.73</v>
      </c>
      <c r="M17" s="10">
        <f>(((_xlfn.IFNA(VLOOKUP($K$14,Prices!$B$2:$D$50,3,FALSE),0)*K17)*24*1826)/1000)*(_xlfn.IFNA(VLOOKUP($M$14,Prices!$B$2:$D$50,2,FALSE),0))*2</f>
        <v>536.40575999999999</v>
      </c>
      <c r="N17" s="10">
        <f t="shared" si="3"/>
        <v>543683.21207999997</v>
      </c>
      <c r="O17" s="10">
        <f t="shared" ref="O17:O22" si="6">N17/1826/24</f>
        <v>12.406060881708653</v>
      </c>
      <c r="P17" s="10">
        <f>O17/(C17*PrCloudDet!$I$11)</f>
        <v>1.6153725106391476E-2</v>
      </c>
      <c r="Q17" s="18">
        <f>O17/(Sheet1!$M$10*C37)</f>
        <v>1.7948583451546086E-2</v>
      </c>
    </row>
    <row r="18" spans="2:18" s="10" customFormat="1" x14ac:dyDescent="0.25">
      <c r="B18" s="10">
        <v>100</v>
      </c>
      <c r="C18" s="14">
        <f>_xlfn.CEILING.MATH(_xlfn.CEILING.MATH(B18/Sheet1!$M$10)/PrCloudDet!$I$12)</f>
        <v>1</v>
      </c>
      <c r="D18" s="10">
        <f t="shared" si="4"/>
        <v>5520.7100000000009</v>
      </c>
      <c r="E18" s="12">
        <f t="shared" si="1"/>
        <v>1</v>
      </c>
      <c r="F18" s="10">
        <f>_xlfn.IFNA(VLOOKUP($E$14,Prices!$B$2:$D$50,2,FALSE),0)</f>
        <v>2413.9899999999998</v>
      </c>
      <c r="G18" s="10">
        <f>(((_xlfn.IFNA(VLOOKUP($E$14,Prices!$B$2:$D$50,3,FALSE),0)*E18)*24*1826)/1000)*(_xlfn.IFNA(VLOOKUP($G$14,Prices!$B$2:$D$50,2,FALSE),0))*2</f>
        <v>335.25359999999995</v>
      </c>
      <c r="H18" s="10">
        <f t="shared" si="5"/>
        <v>1</v>
      </c>
      <c r="I18" s="10">
        <f>_xlfn.IFNA(VLOOKUP($I$14,Prices!$B$2:$D$50,2,FALSE),0)*H18</f>
        <v>526450</v>
      </c>
      <c r="J18" s="10">
        <f>(($G$11*24*1826)/1000)*(_xlfn.IFNA(VLOOKUP($J$14,Prices!$B$2:$D$50,2,FALSE),0))*C18*2</f>
        <v>6772.1227199999994</v>
      </c>
      <c r="K18" s="10">
        <f t="shared" si="2"/>
        <v>1</v>
      </c>
      <c r="L18" s="10">
        <f>_xlfn.IFNA(VLOOKUP($K$14,Prices!$B$2:$D$50,2,FALSE),0)*K18</f>
        <v>1654.73</v>
      </c>
      <c r="M18" s="10">
        <f>(((_xlfn.IFNA(VLOOKUP($K$14,Prices!$B$2:$D$50,3,FALSE),0)*K18)*24*1826)/1000)*(_xlfn.IFNA(VLOOKUP($M$14,Prices!$B$2:$D$50,2,FALSE),0))*2</f>
        <v>536.40575999999999</v>
      </c>
      <c r="N18" s="10">
        <f t="shared" si="3"/>
        <v>543683.21207999997</v>
      </c>
      <c r="O18" s="10">
        <f t="shared" si="6"/>
        <v>12.406060881708653</v>
      </c>
      <c r="P18" s="10">
        <f>O18/(C18*PrCloudDet!$I$11)</f>
        <v>1.6153725106391476E-2</v>
      </c>
      <c r="Q18" s="18">
        <f>O18/(Sheet1!$M$10*C38)</f>
        <v>1.7948583451546086E-2</v>
      </c>
    </row>
    <row r="19" spans="2:18" s="10" customFormat="1" x14ac:dyDescent="0.25">
      <c r="B19" s="10">
        <v>1000</v>
      </c>
      <c r="C19" s="14">
        <f>_xlfn.CEILING.MATH(_xlfn.CEILING.MATH(B19/Sheet1!$M$10)/PrCloudDet!$I$12)</f>
        <v>2</v>
      </c>
      <c r="D19" s="10">
        <f t="shared" si="4"/>
        <v>11041.420000000002</v>
      </c>
      <c r="E19" s="12">
        <f t="shared" si="1"/>
        <v>1</v>
      </c>
      <c r="F19" s="10">
        <f>_xlfn.IFNA(VLOOKUP($E$14,Prices!$B$2:$D$50,2,FALSE),0)</f>
        <v>2413.9899999999998</v>
      </c>
      <c r="G19" s="10">
        <f>(((_xlfn.IFNA(VLOOKUP($E$14,Prices!$B$2:$D$50,3,FALSE),0)*E19)*24*1826)/1000)*(_xlfn.IFNA(VLOOKUP($G$14,Prices!$B$2:$D$50,2,FALSE),0))*2</f>
        <v>335.25359999999995</v>
      </c>
      <c r="H19" s="10">
        <f t="shared" si="5"/>
        <v>1</v>
      </c>
      <c r="I19" s="10">
        <f>_xlfn.IFNA(VLOOKUP($I$14,Prices!$B$2:$D$50,2,FALSE),0)*H19</f>
        <v>526450</v>
      </c>
      <c r="J19" s="10">
        <f>(($G$11*24*1826)/1000)*(_xlfn.IFNA(VLOOKUP($J$14,Prices!$B$2:$D$50,2,FALSE),0))*C19*2</f>
        <v>13544.245439999999</v>
      </c>
      <c r="K19" s="10">
        <f t="shared" si="2"/>
        <v>1</v>
      </c>
      <c r="L19" s="10">
        <f>_xlfn.IFNA(VLOOKUP($K$14,Prices!$B$2:$D$50,2,FALSE),0)*K19</f>
        <v>1654.73</v>
      </c>
      <c r="M19" s="10">
        <f>(((_xlfn.IFNA(VLOOKUP($K$14,Prices!$B$2:$D$50,3,FALSE),0)*K19)*24*1826)/1000)*(_xlfn.IFNA(VLOOKUP($M$14,Prices!$B$2:$D$50,2,FALSE),0))*2</f>
        <v>536.40575999999999</v>
      </c>
      <c r="N19" s="10">
        <f t="shared" si="3"/>
        <v>555976.04479999992</v>
      </c>
      <c r="O19" s="10">
        <f t="shared" si="6"/>
        <v>12.686565461847387</v>
      </c>
      <c r="P19" s="10">
        <f>O19/(C19*PrCloudDet!$I$11)</f>
        <v>8.2594827225568931E-3</v>
      </c>
      <c r="Q19" s="18">
        <f>O19/(Sheet1!$M$10*C39)</f>
        <v>9.1772030250632155E-3</v>
      </c>
    </row>
    <row r="20" spans="2:18" s="10" customFormat="1" x14ac:dyDescent="0.25">
      <c r="B20" s="10">
        <v>10000</v>
      </c>
      <c r="C20" s="14">
        <f>_xlfn.CEILING.MATH(_xlfn.CEILING.MATH(B20/Sheet1!$M$10)/PrCloudDet!$I$12)</f>
        <v>15</v>
      </c>
      <c r="D20" s="10">
        <f t="shared" si="4"/>
        <v>82810.650000000009</v>
      </c>
      <c r="E20" s="12">
        <f t="shared" si="1"/>
        <v>1</v>
      </c>
      <c r="F20" s="10">
        <f>_xlfn.IFNA(VLOOKUP($E$14,Prices!$B$2:$D$50,2,FALSE),0)</f>
        <v>2413.9899999999998</v>
      </c>
      <c r="G20" s="10">
        <f>(((_xlfn.IFNA(VLOOKUP($E$14,Prices!$B$2:$D$50,3,FALSE),0)*E20)*24*1826)/1000)*(_xlfn.IFNA(VLOOKUP($G$14,Prices!$B$2:$D$50,2,FALSE),0))*2</f>
        <v>335.25359999999995</v>
      </c>
      <c r="H20" s="10">
        <f t="shared" si="5"/>
        <v>1</v>
      </c>
      <c r="I20" s="10">
        <f>_xlfn.IFNA(VLOOKUP($I$14,Prices!$B$2:$D$50,2,FALSE),0)*H20</f>
        <v>526450</v>
      </c>
      <c r="J20" s="10">
        <f>(($G$11*24*1826)/1000)*(_xlfn.IFNA(VLOOKUP($J$14,Prices!$B$2:$D$50,2,FALSE),0))*C20*2</f>
        <v>101581.84079999999</v>
      </c>
      <c r="K20" s="10">
        <f t="shared" si="2"/>
        <v>1</v>
      </c>
      <c r="L20" s="10">
        <f>_xlfn.IFNA(VLOOKUP($K$14,Prices!$B$2:$D$50,2,FALSE),0)*K20</f>
        <v>1654.73</v>
      </c>
      <c r="M20" s="10">
        <f>(((_xlfn.IFNA(VLOOKUP($K$14,Prices!$B$2:$D$50,3,FALSE),0)*K20)*24*1826)/1000)*(_xlfn.IFNA(VLOOKUP($M$14,Prices!$B$2:$D$50,2,FALSE),0))*2</f>
        <v>536.40575999999999</v>
      </c>
      <c r="N20" s="10">
        <f t="shared" si="3"/>
        <v>715782.87016000005</v>
      </c>
      <c r="O20" s="10">
        <f t="shared" si="6"/>
        <v>16.333125003650967</v>
      </c>
      <c r="P20" s="10">
        <f>O20/(C20*PrCloudDet!$I$11)</f>
        <v>1.4178059899002575E-3</v>
      </c>
      <c r="Q20" s="18">
        <f>O20/(Sheet1!$M$10*C40)</f>
        <v>1.5753399887780642E-3</v>
      </c>
    </row>
    <row r="21" spans="2:18" s="10" customFormat="1" x14ac:dyDescent="0.25">
      <c r="B21" s="10">
        <v>100000</v>
      </c>
      <c r="C21" s="14">
        <f>_xlfn.CEILING.MATH(_xlfn.CEILING.MATH(B21/Sheet1!$M$10)/PrCloudDet!$I$12)</f>
        <v>145</v>
      </c>
      <c r="D21" s="10">
        <f t="shared" si="4"/>
        <v>800502.95000000019</v>
      </c>
      <c r="E21" s="12">
        <f t="shared" si="1"/>
        <v>6</v>
      </c>
      <c r="F21" s="10">
        <f>_xlfn.IFNA(VLOOKUP($E$14,Prices!$B$2:$D$50,2,FALSE),0)</f>
        <v>2413.9899999999998</v>
      </c>
      <c r="G21" s="10">
        <f>(((_xlfn.IFNA(VLOOKUP($E$14,Prices!$B$2:$D$50,3,FALSE),0)*E21)*24*1826)/1000)*(_xlfn.IFNA(VLOOKUP($G$14,Prices!$B$2:$D$50,2,FALSE),0))*2</f>
        <v>2011.5216</v>
      </c>
      <c r="H21" s="10">
        <f t="shared" si="5"/>
        <v>1</v>
      </c>
      <c r="I21" s="10">
        <f>_xlfn.IFNA(VLOOKUP($I$14,Prices!$B$2:$D$50,2,FALSE),0)*H21</f>
        <v>526450</v>
      </c>
      <c r="J21" s="10">
        <f>(($G$11*24*1826)/1000)*(_xlfn.IFNA(VLOOKUP($J$14,Prices!$B$2:$D$50,2,FALSE),0))*C21*2</f>
        <v>981957.7943999999</v>
      </c>
      <c r="K21" s="10">
        <f t="shared" si="2"/>
        <v>4</v>
      </c>
      <c r="L21" s="10">
        <f>_xlfn.IFNA(VLOOKUP($K$14,Prices!$B$2:$D$50,2,FALSE),0)*K21</f>
        <v>6618.92</v>
      </c>
      <c r="M21" s="10">
        <f>(((_xlfn.IFNA(VLOOKUP($K$14,Prices!$B$2:$D$50,3,FALSE),0)*K21)*24*1826)/1000)*(_xlfn.IFNA(VLOOKUP($M$14,Prices!$B$2:$D$50,2,FALSE),0))*2</f>
        <v>2145.6230399999999</v>
      </c>
      <c r="N21" s="10">
        <f t="shared" si="3"/>
        <v>2322100.79904</v>
      </c>
      <c r="O21" s="10">
        <f t="shared" si="6"/>
        <v>52.986966024096382</v>
      </c>
      <c r="P21" s="10">
        <f>O21/(C21*PrCloudDet!$I$11)</f>
        <v>4.7581686444052068E-4</v>
      </c>
      <c r="Q21" s="18">
        <f>O21/(Sheet1!$M$10*C41)</f>
        <v>5.2868540493391191E-4</v>
      </c>
    </row>
    <row r="22" spans="2:18" s="10" customFormat="1" x14ac:dyDescent="0.25">
      <c r="B22" s="10">
        <v>1000000</v>
      </c>
      <c r="C22" s="14">
        <f>_xlfn.CEILING.MATH(_xlfn.CEILING.MATH(B22/Sheet1!$M$10)/PrCloudDet!$I$12)</f>
        <v>1447</v>
      </c>
      <c r="D22" s="10">
        <f t="shared" si="4"/>
        <v>7988467.370000001</v>
      </c>
      <c r="E22" s="12">
        <f t="shared" si="1"/>
        <v>100</v>
      </c>
      <c r="F22" s="10">
        <f>_xlfn.IFNA(VLOOKUP($E$14,Prices!$B$2:$D$50,2,FALSE),0)</f>
        <v>2413.9899999999998</v>
      </c>
      <c r="G22" s="10">
        <f>(((_xlfn.IFNA(VLOOKUP($E$14,Prices!$B$2:$D$50,3,FALSE),0)*E22)*24*1826)/1000)*(_xlfn.IFNA(VLOOKUP($G$14,Prices!$B$2:$D$50,2,FALSE),0))*2</f>
        <v>33525.360000000001</v>
      </c>
      <c r="H22" s="10">
        <f t="shared" si="5"/>
        <v>2</v>
      </c>
      <c r="I22" s="10">
        <f>_xlfn.IFNA(VLOOKUP($I$14,Prices!$B$2:$D$50,2,FALSE),0)*H22</f>
        <v>1052900</v>
      </c>
      <c r="J22" s="10">
        <f>(($G$11*24*1826)/1000)*(_xlfn.IFNA(VLOOKUP($J$14,Prices!$B$2:$D$50,2,FALSE),0))*C22*2</f>
        <v>9799261.5758399982</v>
      </c>
      <c r="K22" s="10">
        <f t="shared" si="2"/>
        <v>35</v>
      </c>
      <c r="L22" s="10">
        <f>_xlfn.IFNA(VLOOKUP($K$14,Prices!$B$2:$D$50,2,FALSE),0)*K22</f>
        <v>57915.55</v>
      </c>
      <c r="M22" s="10">
        <f>(((_xlfn.IFNA(VLOOKUP($K$14,Prices!$B$2:$D$50,3,FALSE),0)*K22)*24*1826)/1000)*(_xlfn.IFNA(VLOOKUP($M$14,Prices!$B$2:$D$50,2,FALSE),0))*2</f>
        <v>18774.2016</v>
      </c>
      <c r="N22" s="10">
        <f t="shared" si="3"/>
        <v>18953258.047440004</v>
      </c>
      <c r="O22" s="10">
        <f t="shared" si="6"/>
        <v>432.48580794633085</v>
      </c>
      <c r="P22" s="10">
        <f>O22/(C22*PrCloudDet!$I$11)</f>
        <v>3.8917246885288064E-4</v>
      </c>
      <c r="Q22" s="18">
        <f>O22/(Sheet1!$M$10*C42)</f>
        <v>4.3241385428097851E-4</v>
      </c>
    </row>
    <row r="23" spans="2:18" s="8" customFormat="1" x14ac:dyDescent="0.25">
      <c r="B23" s="18">
        <v>1375</v>
      </c>
      <c r="C23" s="18">
        <f>_xlfn.CEILING.MATH(_xlfn.CEILING.MATH(B23/Sheet1!$M$10)/PrCloudDet!$I$12)</f>
        <v>2</v>
      </c>
      <c r="D23" s="18">
        <f t="shared" ref="D23:D28" si="7">$F$11*C23</f>
        <v>11041.420000000002</v>
      </c>
      <c r="E23" s="18">
        <f t="shared" ref="E23:E28" si="8">_xlfn.CEILING.MATH((C23+(IF(_xlfn.CEILING.MATH(C23/28)&lt;=1,_xlfn.CEILING.MATH(C23/28),((_xlfn.CEILING.MATH(C23/28))*(_xlfn.CEILING.MATH(C23/28)-1))/2)))/28)</f>
        <v>1</v>
      </c>
      <c r="F23" s="18">
        <f>_xlfn.IFNA(VLOOKUP($E$14,Prices!$B$2:$D$50,2,FALSE),0)</f>
        <v>2413.9899999999998</v>
      </c>
      <c r="G23" s="18">
        <f>(((_xlfn.IFNA(VLOOKUP($E$14,Prices!$B$2:$D$50,3,FALSE),0)*E23)*24*1826)/1000)*(_xlfn.IFNA(VLOOKUP($G$14,Prices!$B$2:$D$50,2,FALSE),0))*2</f>
        <v>335.25359999999995</v>
      </c>
      <c r="H23" s="18">
        <f t="shared" ref="H23:H28" si="9">_xlfn.CEILING.MATH(C23/1000)</f>
        <v>1</v>
      </c>
      <c r="I23" s="18">
        <f>_xlfn.IFNA(VLOOKUP($I$14,Prices!$B$2:$D$50,2,FALSE),0)*H23</f>
        <v>526450</v>
      </c>
      <c r="J23" s="18">
        <f>(($G$11*24*1826)/1000)*(_xlfn.IFNA(VLOOKUP($J$14,Prices!$B$2:$D$50,2,FALSE),0))*C23*2</f>
        <v>13544.245439999999</v>
      </c>
      <c r="K23" s="18">
        <f t="shared" ref="K23:K28" si="10">_xlfn.CEILING.MATH(C23/42)</f>
        <v>1</v>
      </c>
      <c r="L23" s="18">
        <f>_xlfn.IFNA(VLOOKUP($K$14,Prices!$B$2:$D$50,2,FALSE),0)*K23</f>
        <v>1654.73</v>
      </c>
      <c r="M23" s="18">
        <f>(((_xlfn.IFNA(VLOOKUP($K$14,Prices!$B$2:$D$50,3,FALSE),0)*K23)*24*1826)/1000)*(_xlfn.IFNA(VLOOKUP($M$14,Prices!$B$2:$D$50,2,FALSE),0))*2</f>
        <v>536.40575999999999</v>
      </c>
      <c r="N23" s="18">
        <f t="shared" ref="N23:N28" si="11">D23+F23+G23+I23+J23+L23+M23</f>
        <v>555976.04479999992</v>
      </c>
      <c r="O23" s="18">
        <f t="shared" ref="O23:O28" si="12">N23/1826/24</f>
        <v>12.686565461847387</v>
      </c>
      <c r="P23" s="18">
        <f>O23/(C23*PrCloudDet!$I$11)</f>
        <v>8.2594827225568931E-3</v>
      </c>
      <c r="Q23" s="18">
        <f>O23/(Sheet1!$M$10*C43)</f>
        <v>9.1772030250632155E-3</v>
      </c>
      <c r="R23" s="8">
        <v>7.9861111111111105E-3</v>
      </c>
    </row>
    <row r="24" spans="2:18" s="18" customFormat="1" x14ac:dyDescent="0.25">
      <c r="B24" s="18">
        <v>1600</v>
      </c>
      <c r="C24" s="18">
        <f>_xlfn.CEILING.MATH(_xlfn.CEILING.MATH(B24/Sheet1!$M$10)/PrCloudDet!$I$12)</f>
        <v>3</v>
      </c>
      <c r="D24" s="18">
        <f t="shared" si="7"/>
        <v>16562.130000000005</v>
      </c>
      <c r="E24" s="18">
        <f t="shared" si="8"/>
        <v>1</v>
      </c>
      <c r="F24" s="18">
        <f>_xlfn.IFNA(VLOOKUP($E$14,Prices!$B$2:$D$50,2,FALSE),0)</f>
        <v>2413.9899999999998</v>
      </c>
      <c r="G24" s="18">
        <f>(((_xlfn.IFNA(VLOOKUP($E$14,Prices!$B$2:$D$50,3,FALSE),0)*E24)*24*1826)/1000)*(_xlfn.IFNA(VLOOKUP($G$14,Prices!$B$2:$D$50,2,FALSE),0))*2</f>
        <v>335.25359999999995</v>
      </c>
      <c r="H24" s="18">
        <f t="shared" si="9"/>
        <v>1</v>
      </c>
      <c r="I24" s="18">
        <f>_xlfn.IFNA(VLOOKUP($I$14,Prices!$B$2:$D$50,2,FALSE),0)*H24</f>
        <v>526450</v>
      </c>
      <c r="J24" s="18">
        <f>(($G$11*24*1826)/1000)*(_xlfn.IFNA(VLOOKUP($J$14,Prices!$B$2:$D$50,2,FALSE),0))*C24*2</f>
        <v>20316.368159999998</v>
      </c>
      <c r="K24" s="18">
        <f t="shared" si="10"/>
        <v>1</v>
      </c>
      <c r="L24" s="18">
        <f>_xlfn.IFNA(VLOOKUP($K$14,Prices!$B$2:$D$50,2,FALSE),0)*K24</f>
        <v>1654.73</v>
      </c>
      <c r="M24" s="18">
        <f>(((_xlfn.IFNA(VLOOKUP($K$14,Prices!$B$2:$D$50,3,FALSE),0)*K24)*24*1826)/1000)*(_xlfn.IFNA(VLOOKUP($M$14,Prices!$B$2:$D$50,2,FALSE),0))*2</f>
        <v>536.40575999999999</v>
      </c>
      <c r="N24" s="18">
        <f t="shared" si="11"/>
        <v>568268.87751999998</v>
      </c>
      <c r="O24" s="18">
        <f t="shared" si="12"/>
        <v>12.967070041986126</v>
      </c>
      <c r="P24" s="18">
        <f>O24/(C24*PrCloudDet!$I$11)</f>
        <v>5.628068594612034E-3</v>
      </c>
      <c r="Q24" s="18">
        <f>O24/(Sheet1!$M$10*C44)</f>
        <v>6.2534095495689265E-3</v>
      </c>
    </row>
    <row r="25" spans="2:18" s="18" customFormat="1" x14ac:dyDescent="0.25">
      <c r="B25" s="18">
        <v>1900</v>
      </c>
      <c r="C25" s="18">
        <f>_xlfn.CEILING.MATH(_xlfn.CEILING.MATH(B25/Sheet1!$M$10)/PrCloudDet!$I$12)</f>
        <v>3</v>
      </c>
      <c r="D25" s="18">
        <f t="shared" si="7"/>
        <v>16562.130000000005</v>
      </c>
      <c r="E25" s="18">
        <f t="shared" si="8"/>
        <v>1</v>
      </c>
      <c r="F25" s="18">
        <f>_xlfn.IFNA(VLOOKUP($E$14,Prices!$B$2:$D$50,2,FALSE),0)</f>
        <v>2413.9899999999998</v>
      </c>
      <c r="G25" s="18">
        <f>(((_xlfn.IFNA(VLOOKUP($E$14,Prices!$B$2:$D$50,3,FALSE),0)*E25)*24*1826)/1000)*(_xlfn.IFNA(VLOOKUP($G$14,Prices!$B$2:$D$50,2,FALSE),0))*2</f>
        <v>335.25359999999995</v>
      </c>
      <c r="H25" s="18">
        <f t="shared" si="9"/>
        <v>1</v>
      </c>
      <c r="I25" s="18">
        <f>_xlfn.IFNA(VLOOKUP($I$14,Prices!$B$2:$D$50,2,FALSE),0)*H25</f>
        <v>526450</v>
      </c>
      <c r="J25" s="18">
        <f>(($G$11*24*1826)/1000)*(_xlfn.IFNA(VLOOKUP($J$14,Prices!$B$2:$D$50,2,FALSE),0))*C25*2</f>
        <v>20316.368159999998</v>
      </c>
      <c r="K25" s="18">
        <f t="shared" si="10"/>
        <v>1</v>
      </c>
      <c r="L25" s="18">
        <f>_xlfn.IFNA(VLOOKUP($K$14,Prices!$B$2:$D$50,2,FALSE),0)*K25</f>
        <v>1654.73</v>
      </c>
      <c r="M25" s="18">
        <f>(((_xlfn.IFNA(VLOOKUP($K$14,Prices!$B$2:$D$50,3,FALSE),0)*K25)*24*1826)/1000)*(_xlfn.IFNA(VLOOKUP($M$14,Prices!$B$2:$D$50,2,FALSE),0))*2</f>
        <v>536.40575999999999</v>
      </c>
      <c r="N25" s="18">
        <f t="shared" si="11"/>
        <v>568268.87751999998</v>
      </c>
      <c r="O25" s="18">
        <f t="shared" si="12"/>
        <v>12.967070041986126</v>
      </c>
      <c r="P25" s="18">
        <f>O25/(C25*PrCloudDet!$I$11)</f>
        <v>5.628068594612034E-3</v>
      </c>
      <c r="Q25" s="18">
        <f>O25/(Sheet1!$M$10*C45)</f>
        <v>6.2534095495689265E-3</v>
      </c>
    </row>
    <row r="26" spans="2:18" s="18" customFormat="1" x14ac:dyDescent="0.25">
      <c r="B26" s="18">
        <v>2865</v>
      </c>
      <c r="C26" s="18">
        <f>_xlfn.CEILING.MATH(_xlfn.CEILING.MATH(B26/Sheet1!$M$10)/PrCloudDet!$I$12)</f>
        <v>5</v>
      </c>
      <c r="D26" s="18">
        <f t="shared" si="7"/>
        <v>27603.550000000003</v>
      </c>
      <c r="E26" s="18">
        <f t="shared" si="8"/>
        <v>1</v>
      </c>
      <c r="F26" s="18">
        <f>_xlfn.IFNA(VLOOKUP($E$14,Prices!$B$2:$D$50,2,FALSE),0)</f>
        <v>2413.9899999999998</v>
      </c>
      <c r="G26" s="18">
        <f>(((_xlfn.IFNA(VLOOKUP($E$14,Prices!$B$2:$D$50,3,FALSE),0)*E26)*24*1826)/1000)*(_xlfn.IFNA(VLOOKUP($G$14,Prices!$B$2:$D$50,2,FALSE),0))*2</f>
        <v>335.25359999999995</v>
      </c>
      <c r="H26" s="18">
        <f t="shared" si="9"/>
        <v>1</v>
      </c>
      <c r="I26" s="18">
        <f>_xlfn.IFNA(VLOOKUP($I$14,Prices!$B$2:$D$50,2,FALSE),0)*H26</f>
        <v>526450</v>
      </c>
      <c r="J26" s="18">
        <f>(($G$11*24*1826)/1000)*(_xlfn.IFNA(VLOOKUP($J$14,Prices!$B$2:$D$50,2,FALSE),0))*C26*2</f>
        <v>33860.613599999997</v>
      </c>
      <c r="K26" s="18">
        <f t="shared" si="10"/>
        <v>1</v>
      </c>
      <c r="L26" s="18">
        <f>_xlfn.IFNA(VLOOKUP($K$14,Prices!$B$2:$D$50,2,FALSE),0)*K26</f>
        <v>1654.73</v>
      </c>
      <c r="M26" s="18">
        <f>(((_xlfn.IFNA(VLOOKUP($K$14,Prices!$B$2:$D$50,3,FALSE),0)*K26)*24*1826)/1000)*(_xlfn.IFNA(VLOOKUP($M$14,Prices!$B$2:$D$50,2,FALSE),0))*2</f>
        <v>536.40575999999999</v>
      </c>
      <c r="N26" s="18">
        <f t="shared" si="11"/>
        <v>592854.54295999999</v>
      </c>
      <c r="O26" s="18">
        <f t="shared" si="12"/>
        <v>13.5280792022636</v>
      </c>
      <c r="P26" s="18">
        <f>O26/(C26*PrCloudDet!$I$11)</f>
        <v>3.5229372922561458E-3</v>
      </c>
      <c r="Q26" s="18">
        <f>O26/(Sheet1!$M$10*C46)</f>
        <v>3.9143747691734957E-3</v>
      </c>
    </row>
    <row r="27" spans="2:18" s="18" customFormat="1" x14ac:dyDescent="0.25">
      <c r="B27" s="18">
        <v>3840</v>
      </c>
      <c r="C27" s="18">
        <f>_xlfn.CEILING.MATH(_xlfn.CEILING.MATH(B27/Sheet1!$M$10)/PrCloudDet!$I$12)</f>
        <v>6</v>
      </c>
      <c r="D27" s="18">
        <f t="shared" si="7"/>
        <v>33124.260000000009</v>
      </c>
      <c r="E27" s="18">
        <f t="shared" si="8"/>
        <v>1</v>
      </c>
      <c r="F27" s="18">
        <f>_xlfn.IFNA(VLOOKUP($E$14,Prices!$B$2:$D$50,2,FALSE),0)</f>
        <v>2413.9899999999998</v>
      </c>
      <c r="G27" s="18">
        <f>(((_xlfn.IFNA(VLOOKUP($E$14,Prices!$B$2:$D$50,3,FALSE),0)*E27)*24*1826)/1000)*(_xlfn.IFNA(VLOOKUP($G$14,Prices!$B$2:$D$50,2,FALSE),0))*2</f>
        <v>335.25359999999995</v>
      </c>
      <c r="H27" s="18">
        <f t="shared" si="9"/>
        <v>1</v>
      </c>
      <c r="I27" s="18">
        <f>_xlfn.IFNA(VLOOKUP($I$14,Prices!$B$2:$D$50,2,FALSE),0)*H27</f>
        <v>526450</v>
      </c>
      <c r="J27" s="18">
        <f>(($G$11*24*1826)/1000)*(_xlfn.IFNA(VLOOKUP($J$14,Prices!$B$2:$D$50,2,FALSE),0))*C27*2</f>
        <v>40632.736319999996</v>
      </c>
      <c r="K27" s="18">
        <f t="shared" si="10"/>
        <v>1</v>
      </c>
      <c r="L27" s="18">
        <f>_xlfn.IFNA(VLOOKUP($K$14,Prices!$B$2:$D$50,2,FALSE),0)*K27</f>
        <v>1654.73</v>
      </c>
      <c r="M27" s="18">
        <f>(((_xlfn.IFNA(VLOOKUP($K$14,Prices!$B$2:$D$50,3,FALSE),0)*K27)*24*1826)/1000)*(_xlfn.IFNA(VLOOKUP($M$14,Prices!$B$2:$D$50,2,FALSE),0))*2</f>
        <v>536.40575999999999</v>
      </c>
      <c r="N27" s="18">
        <f t="shared" si="11"/>
        <v>605147.37568000006</v>
      </c>
      <c r="O27" s="18">
        <f t="shared" si="12"/>
        <v>13.808583782402337</v>
      </c>
      <c r="P27" s="18">
        <f>O27/(C27*PrCloudDet!$I$11)</f>
        <v>2.9966544666671737E-3</v>
      </c>
      <c r="Q27" s="18">
        <f>O27/(Sheet1!$M$10*C47)</f>
        <v>3.3296160740746376E-3</v>
      </c>
    </row>
    <row r="28" spans="2:18" s="18" customFormat="1" x14ac:dyDescent="0.25">
      <c r="B28" s="18">
        <v>55675</v>
      </c>
      <c r="C28" s="18">
        <f>_xlfn.CEILING.MATH(_xlfn.CEILING.MATH(B28/Sheet1!$M$10)/PrCloudDet!$I$12)</f>
        <v>81</v>
      </c>
      <c r="D28" s="18">
        <f t="shared" si="7"/>
        <v>447177.51000000007</v>
      </c>
      <c r="E28" s="18">
        <f t="shared" si="8"/>
        <v>3</v>
      </c>
      <c r="F28" s="18">
        <f>_xlfn.IFNA(VLOOKUP($E$14,Prices!$B$2:$D$50,2,FALSE),0)</f>
        <v>2413.9899999999998</v>
      </c>
      <c r="G28" s="18">
        <f>(((_xlfn.IFNA(VLOOKUP($E$14,Prices!$B$2:$D$50,3,FALSE),0)*E28)*24*1826)/1000)*(_xlfn.IFNA(VLOOKUP($G$14,Prices!$B$2:$D$50,2,FALSE),0))*2</f>
        <v>1005.7608</v>
      </c>
      <c r="H28" s="18">
        <f t="shared" si="9"/>
        <v>1</v>
      </c>
      <c r="I28" s="18">
        <f>_xlfn.IFNA(VLOOKUP($I$14,Prices!$B$2:$D$50,2,FALSE),0)*H28</f>
        <v>526450</v>
      </c>
      <c r="J28" s="18">
        <f>(($G$11*24*1826)/1000)*(_xlfn.IFNA(VLOOKUP($J$14,Prices!$B$2:$D$50,2,FALSE),0))*C28*2</f>
        <v>548541.94031999994</v>
      </c>
      <c r="K28" s="18">
        <f t="shared" si="10"/>
        <v>2</v>
      </c>
      <c r="L28" s="18">
        <f>_xlfn.IFNA(VLOOKUP($K$14,Prices!$B$2:$D$50,2,FALSE),0)*K28</f>
        <v>3309.46</v>
      </c>
      <c r="M28" s="18">
        <f>(((_xlfn.IFNA(VLOOKUP($K$14,Prices!$B$2:$D$50,3,FALSE),0)*K28)*24*1826)/1000)*(_xlfn.IFNA(VLOOKUP($M$14,Prices!$B$2:$D$50,2,FALSE),0))*2</f>
        <v>1072.81152</v>
      </c>
      <c r="N28" s="18">
        <f t="shared" si="11"/>
        <v>1529971.4726399998</v>
      </c>
      <c r="O28" s="18">
        <f t="shared" si="12"/>
        <v>34.911725826944135</v>
      </c>
      <c r="P28" s="18">
        <f>O28/(C28*PrCloudDet!$I$11)</f>
        <v>5.6120958440946723E-4</v>
      </c>
      <c r="Q28" s="18">
        <f>O28/(Sheet1!$M$10*C48)</f>
        <v>6.2356620489940797E-4</v>
      </c>
    </row>
    <row r="29" spans="2:18" s="18" customFormat="1" x14ac:dyDescent="0.25"/>
    <row r="30" spans="2:18" s="18" customFormat="1" x14ac:dyDescent="0.25"/>
    <row r="31" spans="2:18" s="18" customFormat="1" x14ac:dyDescent="0.25"/>
    <row r="32" spans="2:18" s="18" customFormat="1" x14ac:dyDescent="0.25"/>
    <row r="33" spans="2:13" s="18" customFormat="1" x14ac:dyDescent="0.25"/>
    <row r="34" spans="2:13" s="8" customFormat="1" x14ac:dyDescent="0.25"/>
    <row r="35" spans="2:13" ht="120" x14ac:dyDescent="0.25">
      <c r="B35" s="14" t="s">
        <v>97</v>
      </c>
      <c r="C35" s="2" t="s">
        <v>127</v>
      </c>
      <c r="D35" s="14" t="s">
        <v>128</v>
      </c>
      <c r="E35" s="14" t="s">
        <v>123</v>
      </c>
      <c r="F35" s="14" t="s">
        <v>124</v>
      </c>
      <c r="G35" s="14" t="s">
        <v>125</v>
      </c>
      <c r="H35" s="14" t="s">
        <v>104</v>
      </c>
      <c r="I35" s="14" t="s">
        <v>126</v>
      </c>
      <c r="J35" s="14" t="s">
        <v>108</v>
      </c>
      <c r="K35" s="14" t="s">
        <v>109</v>
      </c>
      <c r="L35" s="14" t="s">
        <v>110</v>
      </c>
    </row>
    <row r="36" spans="2:13" x14ac:dyDescent="0.25">
      <c r="B36" s="2">
        <f>B16</f>
        <v>1</v>
      </c>
      <c r="C36" s="2">
        <f>_xlfn.CEILING.MATH(B16/Sheet1!$M$10)</f>
        <v>1</v>
      </c>
      <c r="D36" s="2">
        <f t="shared" ref="D36:E42" si="13">C16</f>
        <v>1</v>
      </c>
      <c r="E36" s="15">
        <f t="shared" si="13"/>
        <v>5520.7100000000009</v>
      </c>
      <c r="F36" s="15">
        <f>F16+G16</f>
        <v>2749.2435999999998</v>
      </c>
      <c r="G36" s="15">
        <f t="shared" ref="G36:H42" si="14">I16</f>
        <v>526450</v>
      </c>
      <c r="H36" s="15">
        <f t="shared" si="14"/>
        <v>6772.1227199999994</v>
      </c>
      <c r="I36" s="15">
        <f>L16+M16</f>
        <v>2191.1357600000001</v>
      </c>
      <c r="J36" s="15">
        <f>N16</f>
        <v>543683.21207999997</v>
      </c>
      <c r="K36" s="15">
        <f>O16</f>
        <v>12.406060881708653</v>
      </c>
      <c r="L36" s="16">
        <f>P16</f>
        <v>1.6153725106391476E-2</v>
      </c>
      <c r="M36" s="16">
        <f>Q16</f>
        <v>1.7948583451546086E-2</v>
      </c>
    </row>
    <row r="37" spans="2:13" x14ac:dyDescent="0.25">
      <c r="B37" s="14">
        <f t="shared" ref="B37:B48" si="15">B17</f>
        <v>10</v>
      </c>
      <c r="C37" s="14">
        <f>_xlfn.CEILING.MATH(B17/Sheet1!$M$10)</f>
        <v>1</v>
      </c>
      <c r="D37" s="14">
        <f t="shared" si="13"/>
        <v>1</v>
      </c>
      <c r="E37" s="15">
        <f t="shared" si="13"/>
        <v>5520.7100000000009</v>
      </c>
      <c r="F37" s="15">
        <f t="shared" ref="F37:F42" si="16">F17+G17</f>
        <v>2749.2435999999998</v>
      </c>
      <c r="G37" s="15">
        <f t="shared" si="14"/>
        <v>526450</v>
      </c>
      <c r="H37" s="15">
        <f t="shared" si="14"/>
        <v>6772.1227199999994</v>
      </c>
      <c r="I37" s="15">
        <f t="shared" ref="I37:I42" si="17">L17+M17</f>
        <v>2191.1357600000001</v>
      </c>
      <c r="J37" s="15">
        <f t="shared" ref="J37:J42" si="18">N17</f>
        <v>543683.21207999997</v>
      </c>
      <c r="K37" s="15">
        <f t="shared" ref="K37:K42" si="19">O17</f>
        <v>12.406060881708653</v>
      </c>
      <c r="L37" s="16">
        <f t="shared" ref="L37:L42" si="20">P17</f>
        <v>1.6153725106391476E-2</v>
      </c>
      <c r="M37" s="16">
        <f t="shared" ref="M37:M42" si="21">Q17</f>
        <v>1.7948583451546086E-2</v>
      </c>
    </row>
    <row r="38" spans="2:13" x14ac:dyDescent="0.25">
      <c r="B38" s="14">
        <f t="shared" si="15"/>
        <v>100</v>
      </c>
      <c r="C38" s="14">
        <f>_xlfn.CEILING.MATH(B18/Sheet1!$M$10)</f>
        <v>1</v>
      </c>
      <c r="D38" s="14">
        <f t="shared" si="13"/>
        <v>1</v>
      </c>
      <c r="E38" s="15">
        <f t="shared" si="13"/>
        <v>5520.7100000000009</v>
      </c>
      <c r="F38" s="15">
        <f t="shared" si="16"/>
        <v>2749.2435999999998</v>
      </c>
      <c r="G38" s="15">
        <f t="shared" si="14"/>
        <v>526450</v>
      </c>
      <c r="H38" s="15">
        <f t="shared" si="14"/>
        <v>6772.1227199999994</v>
      </c>
      <c r="I38" s="15">
        <f t="shared" si="17"/>
        <v>2191.1357600000001</v>
      </c>
      <c r="J38" s="15">
        <f t="shared" si="18"/>
        <v>543683.21207999997</v>
      </c>
      <c r="K38" s="15">
        <f t="shared" si="19"/>
        <v>12.406060881708653</v>
      </c>
      <c r="L38" s="16">
        <f t="shared" si="20"/>
        <v>1.6153725106391476E-2</v>
      </c>
      <c r="M38" s="16">
        <f t="shared" si="21"/>
        <v>1.7948583451546086E-2</v>
      </c>
    </row>
    <row r="39" spans="2:13" x14ac:dyDescent="0.25">
      <c r="B39" s="14">
        <f t="shared" si="15"/>
        <v>1000</v>
      </c>
      <c r="C39" s="14">
        <f>_xlfn.CEILING.MATH(B19/Sheet1!$M$10)</f>
        <v>2</v>
      </c>
      <c r="D39" s="14">
        <f t="shared" si="13"/>
        <v>2</v>
      </c>
      <c r="E39" s="15">
        <f t="shared" si="13"/>
        <v>11041.420000000002</v>
      </c>
      <c r="F39" s="15">
        <f t="shared" si="16"/>
        <v>2749.2435999999998</v>
      </c>
      <c r="G39" s="15">
        <f t="shared" si="14"/>
        <v>526450</v>
      </c>
      <c r="H39" s="15">
        <f t="shared" si="14"/>
        <v>13544.245439999999</v>
      </c>
      <c r="I39" s="15">
        <f t="shared" si="17"/>
        <v>2191.1357600000001</v>
      </c>
      <c r="J39" s="15">
        <f t="shared" si="18"/>
        <v>555976.04479999992</v>
      </c>
      <c r="K39" s="15">
        <f t="shared" si="19"/>
        <v>12.686565461847387</v>
      </c>
      <c r="L39" s="16">
        <f t="shared" si="20"/>
        <v>8.2594827225568931E-3</v>
      </c>
      <c r="M39" s="16">
        <f t="shared" si="21"/>
        <v>9.1772030250632155E-3</v>
      </c>
    </row>
    <row r="40" spans="2:13" x14ac:dyDescent="0.25">
      <c r="B40" s="14">
        <f t="shared" si="15"/>
        <v>10000</v>
      </c>
      <c r="C40" s="14">
        <f>_xlfn.CEILING.MATH(B20/Sheet1!$M$10)</f>
        <v>15</v>
      </c>
      <c r="D40" s="14">
        <f t="shared" si="13"/>
        <v>15</v>
      </c>
      <c r="E40" s="15">
        <f t="shared" si="13"/>
        <v>82810.650000000009</v>
      </c>
      <c r="F40" s="15">
        <f t="shared" si="16"/>
        <v>2749.2435999999998</v>
      </c>
      <c r="G40" s="15">
        <f t="shared" si="14"/>
        <v>526450</v>
      </c>
      <c r="H40" s="15">
        <f t="shared" si="14"/>
        <v>101581.84079999999</v>
      </c>
      <c r="I40" s="15">
        <f t="shared" si="17"/>
        <v>2191.1357600000001</v>
      </c>
      <c r="J40" s="15">
        <f t="shared" si="18"/>
        <v>715782.87016000005</v>
      </c>
      <c r="K40" s="15">
        <f t="shared" si="19"/>
        <v>16.333125003650967</v>
      </c>
      <c r="L40" s="16">
        <f t="shared" si="20"/>
        <v>1.4178059899002575E-3</v>
      </c>
      <c r="M40" s="16">
        <f t="shared" si="21"/>
        <v>1.5753399887780642E-3</v>
      </c>
    </row>
    <row r="41" spans="2:13" x14ac:dyDescent="0.25">
      <c r="B41" s="14">
        <f t="shared" si="15"/>
        <v>100000</v>
      </c>
      <c r="C41" s="14">
        <f>_xlfn.CEILING.MATH(B21/Sheet1!$M$10)</f>
        <v>145</v>
      </c>
      <c r="D41" s="14">
        <f t="shared" si="13"/>
        <v>145</v>
      </c>
      <c r="E41" s="15">
        <f t="shared" si="13"/>
        <v>800502.95000000019</v>
      </c>
      <c r="F41" s="15">
        <f t="shared" si="16"/>
        <v>4425.5115999999998</v>
      </c>
      <c r="G41" s="15">
        <f t="shared" si="14"/>
        <v>526450</v>
      </c>
      <c r="H41" s="15">
        <f t="shared" si="14"/>
        <v>981957.7943999999</v>
      </c>
      <c r="I41" s="15">
        <f t="shared" si="17"/>
        <v>8764.5430400000005</v>
      </c>
      <c r="J41" s="15">
        <f t="shared" si="18"/>
        <v>2322100.79904</v>
      </c>
      <c r="K41" s="15">
        <f t="shared" si="19"/>
        <v>52.986966024096382</v>
      </c>
      <c r="L41" s="16">
        <f t="shared" si="20"/>
        <v>4.7581686444052068E-4</v>
      </c>
      <c r="M41" s="16">
        <f t="shared" si="21"/>
        <v>5.2868540493391191E-4</v>
      </c>
    </row>
    <row r="42" spans="2:13" x14ac:dyDescent="0.25">
      <c r="B42" s="14">
        <f t="shared" si="15"/>
        <v>1000000</v>
      </c>
      <c r="C42" s="14">
        <f>_xlfn.CEILING.MATH(B22/Sheet1!$M$10)</f>
        <v>1447</v>
      </c>
      <c r="D42" s="14">
        <f t="shared" si="13"/>
        <v>1447</v>
      </c>
      <c r="E42" s="15">
        <f t="shared" si="13"/>
        <v>7988467.370000001</v>
      </c>
      <c r="F42" s="15">
        <f t="shared" si="16"/>
        <v>35939.35</v>
      </c>
      <c r="G42" s="15">
        <f t="shared" si="14"/>
        <v>1052900</v>
      </c>
      <c r="H42" s="15">
        <f t="shared" si="14"/>
        <v>9799261.5758399982</v>
      </c>
      <c r="I42" s="15">
        <f t="shared" si="17"/>
        <v>76689.751600000003</v>
      </c>
      <c r="J42" s="15">
        <f t="shared" si="18"/>
        <v>18953258.047440004</v>
      </c>
      <c r="K42" s="15">
        <f t="shared" si="19"/>
        <v>432.48580794633085</v>
      </c>
      <c r="L42" s="16">
        <f t="shared" si="20"/>
        <v>3.8917246885288064E-4</v>
      </c>
      <c r="M42" s="16">
        <f t="shared" si="21"/>
        <v>4.3241385428097851E-4</v>
      </c>
    </row>
    <row r="43" spans="2:13" x14ac:dyDescent="0.25">
      <c r="B43" s="18">
        <f t="shared" si="15"/>
        <v>1375</v>
      </c>
      <c r="C43" s="18">
        <f>_xlfn.CEILING.MATH(B23/Sheet1!$M$10)</f>
        <v>2</v>
      </c>
      <c r="D43" s="18">
        <f t="shared" ref="D43:D48" si="22">C23</f>
        <v>2</v>
      </c>
      <c r="E43" s="15">
        <f t="shared" ref="E43:E48" si="23">D23</f>
        <v>11041.420000000002</v>
      </c>
      <c r="F43" s="15">
        <f t="shared" ref="F43:F48" si="24">F23+G23</f>
        <v>2749.2435999999998</v>
      </c>
      <c r="G43" s="15">
        <f t="shared" ref="G43:G48" si="25">I23</f>
        <v>526450</v>
      </c>
      <c r="H43" s="15">
        <f t="shared" ref="H43:H48" si="26">J23</f>
        <v>13544.245439999999</v>
      </c>
      <c r="I43" s="15">
        <f t="shared" ref="I43:I48" si="27">L23+M23</f>
        <v>2191.1357600000001</v>
      </c>
      <c r="J43" s="15">
        <f t="shared" ref="J43:J48" si="28">N23</f>
        <v>555976.04479999992</v>
      </c>
      <c r="K43" s="15">
        <f t="shared" ref="K43:K48" si="29">O23</f>
        <v>12.686565461847387</v>
      </c>
      <c r="L43" s="16">
        <f t="shared" ref="L43:L48" si="30">P23</f>
        <v>8.2594827225568931E-3</v>
      </c>
      <c r="M43" s="16">
        <f t="shared" ref="M43:M48" si="31">Q23</f>
        <v>9.1772030250632155E-3</v>
      </c>
    </row>
    <row r="44" spans="2:13" x14ac:dyDescent="0.25">
      <c r="B44" s="18">
        <f t="shared" si="15"/>
        <v>1600</v>
      </c>
      <c r="C44" s="18">
        <f>_xlfn.CEILING.MATH(B24/Sheet1!$M$10)</f>
        <v>3</v>
      </c>
      <c r="D44" s="18">
        <f t="shared" si="22"/>
        <v>3</v>
      </c>
      <c r="E44" s="15">
        <f t="shared" si="23"/>
        <v>16562.130000000005</v>
      </c>
      <c r="F44" s="15">
        <f t="shared" si="24"/>
        <v>2749.2435999999998</v>
      </c>
      <c r="G44" s="15">
        <f t="shared" si="25"/>
        <v>526450</v>
      </c>
      <c r="H44" s="15">
        <f t="shared" si="26"/>
        <v>20316.368159999998</v>
      </c>
      <c r="I44" s="15">
        <f t="shared" si="27"/>
        <v>2191.1357600000001</v>
      </c>
      <c r="J44" s="15">
        <f t="shared" si="28"/>
        <v>568268.87751999998</v>
      </c>
      <c r="K44" s="15">
        <f t="shared" si="29"/>
        <v>12.967070041986126</v>
      </c>
      <c r="L44" s="16">
        <f t="shared" si="30"/>
        <v>5.628068594612034E-3</v>
      </c>
      <c r="M44" s="16">
        <f t="shared" si="31"/>
        <v>6.2534095495689265E-3</v>
      </c>
    </row>
    <row r="45" spans="2:13" x14ac:dyDescent="0.25">
      <c r="B45" s="18">
        <f t="shared" si="15"/>
        <v>1900</v>
      </c>
      <c r="C45" s="18">
        <f>_xlfn.CEILING.MATH(B25/Sheet1!$M$10)</f>
        <v>3</v>
      </c>
      <c r="D45" s="18">
        <f t="shared" si="22"/>
        <v>3</v>
      </c>
      <c r="E45" s="15">
        <f t="shared" si="23"/>
        <v>16562.130000000005</v>
      </c>
      <c r="F45" s="15">
        <f t="shared" si="24"/>
        <v>2749.2435999999998</v>
      </c>
      <c r="G45" s="15">
        <f t="shared" si="25"/>
        <v>526450</v>
      </c>
      <c r="H45" s="15">
        <f t="shared" si="26"/>
        <v>20316.368159999998</v>
      </c>
      <c r="I45" s="15">
        <f t="shared" si="27"/>
        <v>2191.1357600000001</v>
      </c>
      <c r="J45" s="15">
        <f t="shared" si="28"/>
        <v>568268.87751999998</v>
      </c>
      <c r="K45" s="15">
        <f t="shared" si="29"/>
        <v>12.967070041986126</v>
      </c>
      <c r="L45" s="16">
        <f t="shared" si="30"/>
        <v>5.628068594612034E-3</v>
      </c>
      <c r="M45" s="16">
        <f t="shared" si="31"/>
        <v>6.2534095495689265E-3</v>
      </c>
    </row>
    <row r="46" spans="2:13" x14ac:dyDescent="0.25">
      <c r="B46" s="18">
        <f t="shared" si="15"/>
        <v>2865</v>
      </c>
      <c r="C46" s="18">
        <f>_xlfn.CEILING.MATH(B26/Sheet1!$M$10)</f>
        <v>5</v>
      </c>
      <c r="D46" s="18">
        <f t="shared" si="22"/>
        <v>5</v>
      </c>
      <c r="E46" s="15">
        <f t="shared" si="23"/>
        <v>27603.550000000003</v>
      </c>
      <c r="F46" s="15">
        <f t="shared" si="24"/>
        <v>2749.2435999999998</v>
      </c>
      <c r="G46" s="15">
        <f t="shared" si="25"/>
        <v>526450</v>
      </c>
      <c r="H46" s="15">
        <f t="shared" si="26"/>
        <v>33860.613599999997</v>
      </c>
      <c r="I46" s="15">
        <f t="shared" si="27"/>
        <v>2191.1357600000001</v>
      </c>
      <c r="J46" s="15">
        <f t="shared" si="28"/>
        <v>592854.54295999999</v>
      </c>
      <c r="K46" s="15">
        <f t="shared" si="29"/>
        <v>13.5280792022636</v>
      </c>
      <c r="L46" s="16">
        <f t="shared" si="30"/>
        <v>3.5229372922561458E-3</v>
      </c>
      <c r="M46" s="16">
        <f t="shared" si="31"/>
        <v>3.9143747691734957E-3</v>
      </c>
    </row>
    <row r="47" spans="2:13" x14ac:dyDescent="0.25">
      <c r="B47" s="18">
        <f t="shared" si="15"/>
        <v>3840</v>
      </c>
      <c r="C47" s="18">
        <f>_xlfn.CEILING.MATH(B27/Sheet1!$M$10)</f>
        <v>6</v>
      </c>
      <c r="D47" s="18">
        <f t="shared" si="22"/>
        <v>6</v>
      </c>
      <c r="E47" s="15">
        <f t="shared" si="23"/>
        <v>33124.260000000009</v>
      </c>
      <c r="F47" s="15">
        <f t="shared" si="24"/>
        <v>2749.2435999999998</v>
      </c>
      <c r="G47" s="15">
        <f t="shared" si="25"/>
        <v>526450</v>
      </c>
      <c r="H47" s="15">
        <f t="shared" si="26"/>
        <v>40632.736319999996</v>
      </c>
      <c r="I47" s="15">
        <f t="shared" si="27"/>
        <v>2191.1357600000001</v>
      </c>
      <c r="J47" s="15">
        <f t="shared" si="28"/>
        <v>605147.37568000006</v>
      </c>
      <c r="K47" s="15">
        <f t="shared" si="29"/>
        <v>13.808583782402337</v>
      </c>
      <c r="L47" s="16">
        <f t="shared" si="30"/>
        <v>2.9966544666671737E-3</v>
      </c>
      <c r="M47" s="16">
        <f t="shared" si="31"/>
        <v>3.3296160740746376E-3</v>
      </c>
    </row>
    <row r="48" spans="2:13" x14ac:dyDescent="0.25">
      <c r="B48" s="18">
        <f t="shared" si="15"/>
        <v>55675</v>
      </c>
      <c r="C48" s="18">
        <f>_xlfn.CEILING.MATH(B28/Sheet1!$M$10)</f>
        <v>81</v>
      </c>
      <c r="D48" s="18">
        <f t="shared" si="22"/>
        <v>81</v>
      </c>
      <c r="E48" s="15">
        <f t="shared" si="23"/>
        <v>447177.51000000007</v>
      </c>
      <c r="F48" s="15">
        <f t="shared" si="24"/>
        <v>3419.7507999999998</v>
      </c>
      <c r="G48" s="15">
        <f t="shared" si="25"/>
        <v>526450</v>
      </c>
      <c r="H48" s="15">
        <f t="shared" si="26"/>
        <v>548541.94031999994</v>
      </c>
      <c r="I48" s="15">
        <f t="shared" si="27"/>
        <v>4382.2715200000002</v>
      </c>
      <c r="J48" s="15">
        <f t="shared" si="28"/>
        <v>1529971.4726399998</v>
      </c>
      <c r="K48" s="15">
        <f t="shared" si="29"/>
        <v>34.911725826944135</v>
      </c>
      <c r="L48" s="16">
        <f t="shared" si="30"/>
        <v>5.6120958440946723E-4</v>
      </c>
      <c r="M48" s="16">
        <f t="shared" si="31"/>
        <v>6.2356620489940797E-4</v>
      </c>
    </row>
  </sheetData>
  <mergeCells count="2">
    <mergeCell ref="E14:F14"/>
    <mergeCell ref="K14:L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Summary (2)</vt:lpstr>
      <vt:lpstr>Sheet2</vt:lpstr>
      <vt:lpstr>Sheet1</vt:lpstr>
      <vt:lpstr>PrCloudDet</vt:lpstr>
      <vt:lpstr>PrCloudQty</vt:lpstr>
      <vt:lpstr>Prices</vt:lpstr>
      <vt:lpstr>m4.10xlarge</vt:lpstr>
      <vt:lpstr>m3.large</vt:lpstr>
      <vt:lpstr>m3.2xlarge</vt:lpstr>
      <vt:lpstr>c3.8xlarge</vt:lpstr>
      <vt:lpstr>g2.2xlarge</vt:lpstr>
      <vt:lpstr>r3.4xlarge</vt:lpstr>
      <vt:lpstr>i2.8xlarge</vt:lpstr>
      <vt:lpstr>d2.8xlarge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Niks</dc:creator>
  <cp:lastModifiedBy>Niks</cp:lastModifiedBy>
  <dcterms:created xsi:type="dcterms:W3CDTF">2016-04-05T00:40:46Z</dcterms:created>
  <dcterms:modified xsi:type="dcterms:W3CDTF">2016-04-19T06:53:34Z</dcterms:modified>
</cp:coreProperties>
</file>